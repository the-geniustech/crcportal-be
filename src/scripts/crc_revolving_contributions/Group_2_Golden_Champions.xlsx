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Contribution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<sst xmlns="http://schemas.openxmlformats.org/spreadsheetml/2006/main" count="79" uniqueCount="78">
  <si>
    <t>Group 2 Contributions</t>
  </si>
  <si>
    <t>S/N</t>
  </si>
  <si>
    <t>Name</t>
  </si>
  <si>
    <t>Unit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</si>
  <si>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</si>
  <si>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</si>
  <si>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</si>
  <si>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</si>
  <si>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</si>
  <si>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</si>
  <si>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</si>
  <si>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</si>
  <si>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</si>
  <si>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</si>
  <si>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Total (Jan–Oct)</t>
  </si>
  <si>
    <t>Nov</t>
  </si>
  <si>
    <t>Dec</t>
  </si>
  <si>
    <t>Grand Total (Jan–Dec)</t>
  </si>
  <si>
    <t>Adebambo Micheal</t>
  </si>
  <si>
    <t>Adekunle Busirat</t>
  </si>
  <si>
    <t>Ajibade Adeola</t>
  </si>
  <si>
    <t>Moses Odunayo</t>
  </si>
  <si>
    <t>Adekunle Adijat</t>
  </si>
  <si>
    <t>Ayeni Abidemi</t>
  </si>
  <si>
    <t>Kehinde Omotayo</t>
  </si>
  <si>
    <t>Muheed Olamilekan</t>
  </si>
  <si>
    <t>Olamide Christianah</t>
  </si>
  <si>
    <t>Olusegun Olubunmi</t>
  </si>
  <si>
    <t>Yusuf Suilat</t>
  </si>
  <si>
    <t>Amao Temilola</t>
  </si>
  <si>
    <t>Cole Elizabeth</t>
  </si>
  <si>
    <t>Dawotola Elizabeth</t>
  </si>
  <si>
    <t>Gafari Aina</t>
  </si>
  <si>
    <t>Gbadeyan Victoria</t>
  </si>
  <si>
    <t>Olamilekan Temitope</t>
  </si>
  <si>
    <t>Soyemi Oluwakemi</t>
  </si>
  <si>
    <t>Adebayo Funke</t>
  </si>
  <si>
    <t>Akinleye Nofisat</t>
  </si>
  <si>
    <t>Arowolo Idayat</t>
  </si>
  <si>
    <t>Enitinwa Bukola</t>
  </si>
  <si>
    <t>Ogunniyi Dupe</t>
  </si>
  <si>
    <t>Olaonipekun Aderemi</t>
  </si>
  <si>
    <t>Rasaq Ramota</t>
  </si>
  <si>
    <t>Adebiyi Florence</t>
  </si>
  <si>
    <t>Agbebiyi Sola</t>
  </si>
  <si>
    <t>David Grace</t>
  </si>
  <si>
    <t>Durojaye Fatimo</t>
  </si>
  <si>
    <t>Makinde Sofiat</t>
  </si>
  <si>
    <t>Micheal Bose</t>
  </si>
  <si>
    <t>Ajayi Comfort</t>
  </si>
  <si>
    <t>Ajibade Fatimo</t>
  </si>
  <si>
    <t>Meshinoye Mubo</t>
  </si>
  <si>
    <t>Tijani Busirat</t>
  </si>
  <si>
    <t>Adekunle Tawakalitu</t>
  </si>
  <si>
    <t>Akinola Wemimo</t>
  </si>
  <si>
    <t>Ibraheem Mojeed</t>
  </si>
  <si>
    <t>Taiwo Sulaimon</t>
  </si>
  <si>
    <t>Kadiri Bimbo</t>
  </si>
  <si>
    <t>Adekunle Hammed</t>
  </si>
  <si>
    <t>Adekunle Ibrahim</t>
  </si>
  <si>
    <t>Adeoye Adeeko</t>
  </si>
  <si>
    <t>Ajibola Abidemi</t>
  </si>
  <si>
    <t>Olatunde Raphael</t>
  </si>
  <si>
    <t>Olawoyin Taiwo</t>
  </si>
  <si>
    <t>Adelakun Balikis</t>
  </si>
  <si>
    <t>Ashiru Ololade</t>
  </si>
  <si>
    <t>Ashiru Olatunde</t>
  </si>
  <si>
    <t>Rotimi Funke</t>
  </si>
  <si>
    <t>Raji Zainab</t>
  </si>
  <si>
    <t>Olotu Sola</t>
  </si>
  <si>
    <t>Raji Barakat</t>
  </si>
  <si>
    <t>Cole Oluwatobi</t>
  </si>
  <si>
    <t>Adekunle Olabisi</t>
  </si>
  <si>
    <t>Ogunrinde Elizabeth</t>
  </si>
  <si>
    <t>Francis Adogbeji</t>
  </si>
  <si>
    <t>Folarin Basirat</t>
  </si>
  <si>
    <t/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</si>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</sst>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₦&quot;#,##0"/>
  </numFmts>
  <fonts count="23">
    <font>
      <sz val="11"/>
      <name val="Carlito"/>
      <charset val="134"/>
    </font>
    <font>
      <b/>
      <sz val="13"/>
      <color rgb="FFFFFFFF"/>
      <name val="Carlito"/>
      <charset val="134"/>
    </font>
    <font>
      <b/>
      <sz val="1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7" borderId="4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NumberFormat="1" applyFont="1" applyFill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1" fontId="0" fillId="0" borderId="0" xfId="0" applyNumberFormat="1" applyFont="1" applyFill="1" applyBorder="1" applyAlignment="1">
      <alignment wrapText="1"/>
    </xf>
    <xf numFmtId="178" fontId="0" fillId="0" borderId="0" xfId="0" applyNumberFormat="1" applyFont="1" applyFill="1" applyBorder="1" applyAlignment="1">
      <alignment wrapText="1"/>
    </xf>
    <xf numFmtId="0" fontId="2" fillId="4" borderId="0" xfId="0" applyNumberFormat="1" applyFont="1" applyFill="1" applyBorder="1" applyAlignment="1">
      <alignment wrapText="1"/>
    </xf>
    <xf numFmtId="178" fontId="2" fillId="4" borderId="0" xfId="0" applyNumberFormat="1" applyFont="1" applyFill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Group2ContributionsTable" displayName="Group2ContributionsTable" ref="A3:Q61">
  <tableColumns count="17">
    <tableColumn id="1" name="S/N"/>
    <tableColumn id="2" name="Name"/>
    <tableColumn id="3" name="Unit"/>
    <tableColumn id="4" name="Jan"/>
    <tableColumn id="5" name="Feb"/>
    <tableColumn id="6" name="Mar"/>
    <tableColumn id="7" name="Apr"/>
    <tableColumn id="8" name="May"/>
    <tableColumn id="9" name="Jun"/>
    <tableColumn id="10" name="Jul"/>
    <tableColumn id="11" name="Aug"/>
    <tableColumn id="12" name="Sep"/>
    <tableColumn id="13" name="Oct"/>
    <tableColumn id="14" name="Total (Jan–Oct)"/>
    <tableColumn id="15" name="Nov"/>
    <tableColumn id="16" name="Dec"/>
    <tableColumn id="17" name="Grand Total (Jan–Dec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2"/>
  <sheetViews>
    <sheetView tabSelected="1" workbookViewId="0">
      <selection activeCell="A1" sqref="A1:Q1"/>
    </sheetView>
  </sheetViews>
  <sheetFormatPr defaultColWidth="9" defaultRowHeight="14.25"/>
  <cols>
    <col min="1" max="1" width="6" customWidth="1"/>
    <col min="2" max="2" width="28" customWidth="1"/>
    <col min="3" max="3" width="10" customWidth="1"/>
    <col min="4" max="13" width="12" customWidth="1"/>
    <col min="14" max="14" width="16" customWidth="1"/>
    <col min="15" max="16" width="12" customWidth="1"/>
    <col min="17" max="17" width="20" customWidth="1"/>
  </cols>
  <sheetData>
    <row r="1" ht="16.5" spans="1:1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3" ht="30" spans="1:17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</row>
    <row r="4" spans="1:17">
      <c r="A4" s="3">
        <v>1</v>
      </c>
      <c r="B4" s="3" t="s">
        <v>18</v>
      </c>
      <c r="C4" s="4">
        <v>5</v>
      </c>
      <c r="D4" s="5">
        <f>C4*1000</f>
        <v>5000</v>
      </c>
      <c r="E4" s="5">
        <f>C4*1000</f>
        <v>5000</v>
      </c>
      <c r="F4" s="5">
        <f t="shared" ref="F4:M4" si="0">0</f>
        <v>0</v>
      </c>
      <c r="G4" s="5">
        <f t="shared" si="0"/>
        <v>0</v>
      </c>
      <c r="H4" s="5">
        <f t="shared" si="0"/>
        <v>0</v>
      </c>
      <c r="I4" s="5">
        <f t="shared" si="0"/>
        <v>0</v>
      </c>
      <c r="J4" s="5">
        <f t="shared" si="0"/>
        <v>0</v>
      </c>
      <c r="K4" s="5">
        <f t="shared" si="0"/>
        <v>0</v>
      </c>
      <c r="L4" s="5">
        <f t="shared" si="0"/>
        <v>0</v>
      </c>
      <c r="M4" s="5">
        <f t="shared" si="0"/>
        <v>0</v>
      </c>
      <c r="N4" s="5">
        <f t="shared" ref="N4:N61" si="1">SUM(D4:M4)</f>
        <v>10000</v>
      </c>
      <c r="O4" s="5">
        <f t="shared" ref="O4:O61" si="2">0</f>
        <v>0</v>
      </c>
      <c r="P4" s="5">
        <f t="shared" ref="P4:P61" si="3">0</f>
        <v>0</v>
      </c>
      <c r="Q4" s="5">
        <f t="shared" ref="Q4:Q61" si="4">SUM(N4:P4)</f>
        <v>10000</v>
      </c>
    </row>
    <row r="5" spans="1:17">
      <c r="A5" s="3">
        <v>2</v>
      </c>
      <c r="B5" s="3" t="s">
        <v>19</v>
      </c>
      <c r="C5" s="4">
        <v>5</v>
      </c>
      <c r="D5" s="5">
        <f>C5*1000</f>
        <v>5000</v>
      </c>
      <c r="E5" s="5">
        <f>C5*1000</f>
        <v>5000</v>
      </c>
      <c r="F5" s="5">
        <f t="shared" ref="F5:M5" si="5">0</f>
        <v>0</v>
      </c>
      <c r="G5" s="5">
        <f t="shared" si="5"/>
        <v>0</v>
      </c>
      <c r="H5" s="5">
        <f t="shared" si="5"/>
        <v>0</v>
      </c>
      <c r="I5" s="5">
        <f t="shared" si="5"/>
        <v>0</v>
      </c>
      <c r="J5" s="5">
        <f t="shared" si="5"/>
        <v>0</v>
      </c>
      <c r="K5" s="5">
        <f t="shared" si="5"/>
        <v>0</v>
      </c>
      <c r="L5" s="5">
        <f t="shared" si="5"/>
        <v>0</v>
      </c>
      <c r="M5" s="5">
        <f t="shared" si="5"/>
        <v>0</v>
      </c>
      <c r="N5" s="5">
        <f t="shared" si="1"/>
        <v>10000</v>
      </c>
      <c r="O5" s="5">
        <f t="shared" si="2"/>
        <v>0</v>
      </c>
      <c r="P5" s="5">
        <f t="shared" si="3"/>
        <v>0</v>
      </c>
      <c r="Q5" s="5">
        <f t="shared" si="4"/>
        <v>10000</v>
      </c>
    </row>
    <row r="6" spans="1:17">
      <c r="A6" s="3">
        <v>3</v>
      </c>
      <c r="B6" s="3" t="s">
        <v>20</v>
      </c>
      <c r="C6" s="4">
        <v>5</v>
      </c>
      <c r="D6" s="5">
        <f>C6*1000</f>
        <v>5000</v>
      </c>
      <c r="E6" s="5">
        <f>C6*1000</f>
        <v>5000</v>
      </c>
      <c r="F6" s="5">
        <f t="shared" ref="F6:M6" si="6">0</f>
        <v>0</v>
      </c>
      <c r="G6" s="5">
        <f t="shared" si="6"/>
        <v>0</v>
      </c>
      <c r="H6" s="5">
        <f t="shared" si="6"/>
        <v>0</v>
      </c>
      <c r="I6" s="5">
        <f t="shared" si="6"/>
        <v>0</v>
      </c>
      <c r="J6" s="5">
        <f t="shared" si="6"/>
        <v>0</v>
      </c>
      <c r="K6" s="5">
        <f t="shared" si="6"/>
        <v>0</v>
      </c>
      <c r="L6" s="5">
        <f t="shared" si="6"/>
        <v>0</v>
      </c>
      <c r="M6" s="5">
        <f t="shared" si="6"/>
        <v>0</v>
      </c>
      <c r="N6" s="5">
        <f t="shared" si="1"/>
        <v>10000</v>
      </c>
      <c r="O6" s="5">
        <f t="shared" si="2"/>
        <v>0</v>
      </c>
      <c r="P6" s="5">
        <f t="shared" si="3"/>
        <v>0</v>
      </c>
      <c r="Q6" s="5">
        <f t="shared" si="4"/>
        <v>10000</v>
      </c>
    </row>
    <row r="7" spans="1:17">
      <c r="A7" s="3">
        <v>4</v>
      </c>
      <c r="B7" s="3" t="s">
        <v>21</v>
      </c>
      <c r="C7" s="4">
        <v>5</v>
      </c>
      <c r="D7" s="5">
        <f>C7*1000</f>
        <v>5000</v>
      </c>
      <c r="E7" s="5">
        <f>C7*1000</f>
        <v>5000</v>
      </c>
      <c r="F7" s="5">
        <f t="shared" ref="F7:M7" si="7">0</f>
        <v>0</v>
      </c>
      <c r="G7" s="5">
        <f t="shared" si="7"/>
        <v>0</v>
      </c>
      <c r="H7" s="5">
        <f t="shared" si="7"/>
        <v>0</v>
      </c>
      <c r="I7" s="5">
        <f t="shared" si="7"/>
        <v>0</v>
      </c>
      <c r="J7" s="5">
        <f t="shared" si="7"/>
        <v>0</v>
      </c>
      <c r="K7" s="5">
        <f t="shared" si="7"/>
        <v>0</v>
      </c>
      <c r="L7" s="5">
        <f t="shared" si="7"/>
        <v>0</v>
      </c>
      <c r="M7" s="5">
        <f t="shared" si="7"/>
        <v>0</v>
      </c>
      <c r="N7" s="5">
        <f t="shared" si="1"/>
        <v>10000</v>
      </c>
      <c r="O7" s="5">
        <f t="shared" si="2"/>
        <v>0</v>
      </c>
      <c r="P7" s="5">
        <f t="shared" si="3"/>
        <v>0</v>
      </c>
      <c r="Q7" s="5">
        <f t="shared" si="4"/>
        <v>10000</v>
      </c>
    </row>
    <row r="8" spans="1:17">
      <c r="A8" s="3">
        <v>5</v>
      </c>
      <c r="B8" s="3" t="s">
        <v>22</v>
      </c>
      <c r="C8" s="4">
        <v>10</v>
      </c>
      <c r="D8" s="5">
        <f>C8*1000</f>
        <v>10000</v>
      </c>
      <c r="E8" s="5">
        <f>C8*1000</f>
        <v>10000</v>
      </c>
      <c r="F8" s="5">
        <f t="shared" ref="F8:M8" si="8">0</f>
        <v>0</v>
      </c>
      <c r="G8" s="5">
        <f t="shared" si="8"/>
        <v>0</v>
      </c>
      <c r="H8" s="5">
        <f t="shared" si="8"/>
        <v>0</v>
      </c>
      <c r="I8" s="5">
        <f t="shared" si="8"/>
        <v>0</v>
      </c>
      <c r="J8" s="5">
        <f t="shared" si="8"/>
        <v>0</v>
      </c>
      <c r="K8" s="5">
        <f t="shared" si="8"/>
        <v>0</v>
      </c>
      <c r="L8" s="5">
        <f t="shared" si="8"/>
        <v>0</v>
      </c>
      <c r="M8" s="5">
        <f t="shared" si="8"/>
        <v>0</v>
      </c>
      <c r="N8" s="5">
        <f t="shared" si="1"/>
        <v>20000</v>
      </c>
      <c r="O8" s="5">
        <f t="shared" si="2"/>
        <v>0</v>
      </c>
      <c r="P8" s="5">
        <f t="shared" si="3"/>
        <v>0</v>
      </c>
      <c r="Q8" s="5">
        <f t="shared" si="4"/>
        <v>20000</v>
      </c>
    </row>
    <row r="9" spans="1:17">
      <c r="A9" s="3">
        <v>6</v>
      </c>
      <c r="B9" s="3" t="s">
        <v>23</v>
      </c>
      <c r="C9" s="4">
        <v>10</v>
      </c>
      <c r="D9" s="5">
        <f>0</f>
        <v>0</v>
      </c>
      <c r="E9" s="5">
        <f>C9*2*1000</f>
        <v>20000</v>
      </c>
      <c r="F9" s="5">
        <f t="shared" ref="F9:M9" si="9">0</f>
        <v>0</v>
      </c>
      <c r="G9" s="5">
        <f t="shared" si="9"/>
        <v>0</v>
      </c>
      <c r="H9" s="5">
        <f t="shared" si="9"/>
        <v>0</v>
      </c>
      <c r="I9" s="5">
        <f t="shared" si="9"/>
        <v>0</v>
      </c>
      <c r="J9" s="5">
        <f t="shared" si="9"/>
        <v>0</v>
      </c>
      <c r="K9" s="5">
        <f t="shared" si="9"/>
        <v>0</v>
      </c>
      <c r="L9" s="5">
        <f t="shared" si="9"/>
        <v>0</v>
      </c>
      <c r="M9" s="5">
        <f t="shared" si="9"/>
        <v>0</v>
      </c>
      <c r="N9" s="5">
        <f t="shared" si="1"/>
        <v>20000</v>
      </c>
      <c r="O9" s="5">
        <f t="shared" si="2"/>
        <v>0</v>
      </c>
      <c r="P9" s="5">
        <f t="shared" si="3"/>
        <v>0</v>
      </c>
      <c r="Q9" s="5">
        <f t="shared" si="4"/>
        <v>20000</v>
      </c>
    </row>
    <row r="10" spans="1:17">
      <c r="A10" s="3">
        <v>7</v>
      </c>
      <c r="B10" s="3" t="s">
        <v>24</v>
      </c>
      <c r="C10" s="4">
        <v>10</v>
      </c>
      <c r="D10" s="5">
        <f>0</f>
        <v>0</v>
      </c>
      <c r="E10" s="5">
        <f>C10*1000</f>
        <v>10000</v>
      </c>
      <c r="F10" s="5">
        <f t="shared" ref="F10:M10" si="10">0</f>
        <v>0</v>
      </c>
      <c r="G10" s="5">
        <f t="shared" si="10"/>
        <v>0</v>
      </c>
      <c r="H10" s="5">
        <f t="shared" si="10"/>
        <v>0</v>
      </c>
      <c r="I10" s="5">
        <f t="shared" si="10"/>
        <v>0</v>
      </c>
      <c r="J10" s="5">
        <f t="shared" si="10"/>
        <v>0</v>
      </c>
      <c r="K10" s="5">
        <f t="shared" si="10"/>
        <v>0</v>
      </c>
      <c r="L10" s="5">
        <f t="shared" si="10"/>
        <v>0</v>
      </c>
      <c r="M10" s="5">
        <f t="shared" si="10"/>
        <v>0</v>
      </c>
      <c r="N10" s="5">
        <f t="shared" si="1"/>
        <v>10000</v>
      </c>
      <c r="O10" s="5">
        <f t="shared" si="2"/>
        <v>0</v>
      </c>
      <c r="P10" s="5">
        <f t="shared" si="3"/>
        <v>0</v>
      </c>
      <c r="Q10" s="5">
        <f t="shared" si="4"/>
        <v>10000</v>
      </c>
    </row>
    <row r="11" spans="1:17">
      <c r="A11" s="3">
        <v>8</v>
      </c>
      <c r="B11" s="3" t="s">
        <v>25</v>
      </c>
      <c r="C11" s="4">
        <v>10</v>
      </c>
      <c r="D11" s="5">
        <f>C11*1000</f>
        <v>10000</v>
      </c>
      <c r="E11" s="5">
        <f>C11*1000</f>
        <v>10000</v>
      </c>
      <c r="F11" s="5">
        <f t="shared" ref="F11:M11" si="11">0</f>
        <v>0</v>
      </c>
      <c r="G11" s="5">
        <f t="shared" si="11"/>
        <v>0</v>
      </c>
      <c r="H11" s="5">
        <f t="shared" si="11"/>
        <v>0</v>
      </c>
      <c r="I11" s="5">
        <f t="shared" si="11"/>
        <v>0</v>
      </c>
      <c r="J11" s="5">
        <f t="shared" si="11"/>
        <v>0</v>
      </c>
      <c r="K11" s="5">
        <f t="shared" si="11"/>
        <v>0</v>
      </c>
      <c r="L11" s="5">
        <f t="shared" si="11"/>
        <v>0</v>
      </c>
      <c r="M11" s="5">
        <f t="shared" si="11"/>
        <v>0</v>
      </c>
      <c r="N11" s="5">
        <f t="shared" si="1"/>
        <v>20000</v>
      </c>
      <c r="O11" s="5">
        <f t="shared" si="2"/>
        <v>0</v>
      </c>
      <c r="P11" s="5">
        <f t="shared" si="3"/>
        <v>0</v>
      </c>
      <c r="Q11" s="5">
        <f t="shared" si="4"/>
        <v>20000</v>
      </c>
    </row>
    <row r="12" spans="1:17">
      <c r="A12" s="3">
        <v>9</v>
      </c>
      <c r="B12" s="3" t="s">
        <v>26</v>
      </c>
      <c r="C12" s="4">
        <v>10</v>
      </c>
      <c r="D12" s="5">
        <f>5000</f>
        <v>5000</v>
      </c>
      <c r="E12" s="5">
        <f>15000</f>
        <v>15000</v>
      </c>
      <c r="F12" s="5">
        <f t="shared" ref="F12:M12" si="12">0</f>
        <v>0</v>
      </c>
      <c r="G12" s="5">
        <f t="shared" si="12"/>
        <v>0</v>
      </c>
      <c r="H12" s="5">
        <f t="shared" si="12"/>
        <v>0</v>
      </c>
      <c r="I12" s="5">
        <f t="shared" si="12"/>
        <v>0</v>
      </c>
      <c r="J12" s="5">
        <f t="shared" si="12"/>
        <v>0</v>
      </c>
      <c r="K12" s="5">
        <f t="shared" si="12"/>
        <v>0</v>
      </c>
      <c r="L12" s="5">
        <f t="shared" si="12"/>
        <v>0</v>
      </c>
      <c r="M12" s="5">
        <f t="shared" si="12"/>
        <v>0</v>
      </c>
      <c r="N12" s="5">
        <f t="shared" si="1"/>
        <v>20000</v>
      </c>
      <c r="O12" s="5">
        <f t="shared" si="2"/>
        <v>0</v>
      </c>
      <c r="P12" s="5">
        <f t="shared" si="3"/>
        <v>0</v>
      </c>
      <c r="Q12" s="5">
        <f t="shared" si="4"/>
        <v>20000</v>
      </c>
    </row>
    <row r="13" spans="1:17">
      <c r="A13" s="3">
        <v>10</v>
      </c>
      <c r="B13" s="3" t="s">
        <v>27</v>
      </c>
      <c r="C13" s="4">
        <v>10</v>
      </c>
      <c r="D13" s="5">
        <f>0</f>
        <v>0</v>
      </c>
      <c r="E13" s="5">
        <f>C13*2*1000</f>
        <v>20000</v>
      </c>
      <c r="F13" s="5">
        <f t="shared" ref="F13:M13" si="13">0</f>
        <v>0</v>
      </c>
      <c r="G13" s="5">
        <f t="shared" si="13"/>
        <v>0</v>
      </c>
      <c r="H13" s="5">
        <f t="shared" si="13"/>
        <v>0</v>
      </c>
      <c r="I13" s="5">
        <f t="shared" si="13"/>
        <v>0</v>
      </c>
      <c r="J13" s="5">
        <f t="shared" si="13"/>
        <v>0</v>
      </c>
      <c r="K13" s="5">
        <f t="shared" si="13"/>
        <v>0</v>
      </c>
      <c r="L13" s="5">
        <f t="shared" si="13"/>
        <v>0</v>
      </c>
      <c r="M13" s="5">
        <f t="shared" si="13"/>
        <v>0</v>
      </c>
      <c r="N13" s="5">
        <f t="shared" si="1"/>
        <v>20000</v>
      </c>
      <c r="O13" s="5">
        <f t="shared" si="2"/>
        <v>0</v>
      </c>
      <c r="P13" s="5">
        <f t="shared" si="3"/>
        <v>0</v>
      </c>
      <c r="Q13" s="5">
        <f t="shared" si="4"/>
        <v>20000</v>
      </c>
    </row>
    <row r="14" spans="1:17">
      <c r="A14" s="3">
        <v>11</v>
      </c>
      <c r="B14" s="3" t="s">
        <v>28</v>
      </c>
      <c r="C14" s="4">
        <v>10</v>
      </c>
      <c r="D14" s="5">
        <f t="shared" ref="D14:D32" si="14">C14*1000</f>
        <v>10000</v>
      </c>
      <c r="E14" s="5">
        <f t="shared" ref="E14:E22" si="15">C14*1000</f>
        <v>10000</v>
      </c>
      <c r="F14" s="5">
        <f t="shared" ref="F14:M14" si="16">0</f>
        <v>0</v>
      </c>
      <c r="G14" s="5">
        <f t="shared" si="16"/>
        <v>0</v>
      </c>
      <c r="H14" s="5">
        <f t="shared" si="16"/>
        <v>0</v>
      </c>
      <c r="I14" s="5">
        <f t="shared" si="16"/>
        <v>0</v>
      </c>
      <c r="J14" s="5">
        <f t="shared" si="16"/>
        <v>0</v>
      </c>
      <c r="K14" s="5">
        <f t="shared" si="16"/>
        <v>0</v>
      </c>
      <c r="L14" s="5">
        <f t="shared" si="16"/>
        <v>0</v>
      </c>
      <c r="M14" s="5">
        <f t="shared" si="16"/>
        <v>0</v>
      </c>
      <c r="N14" s="5">
        <f t="shared" si="1"/>
        <v>20000</v>
      </c>
      <c r="O14" s="5">
        <f t="shared" si="2"/>
        <v>0</v>
      </c>
      <c r="P14" s="5">
        <f t="shared" si="3"/>
        <v>0</v>
      </c>
      <c r="Q14" s="5">
        <f t="shared" si="4"/>
        <v>20000</v>
      </c>
    </row>
    <row r="15" spans="1:17">
      <c r="A15" s="3">
        <v>12</v>
      </c>
      <c r="B15" s="3" t="s">
        <v>29</v>
      </c>
      <c r="C15" s="4">
        <v>15</v>
      </c>
      <c r="D15" s="5">
        <f t="shared" si="14"/>
        <v>15000</v>
      </c>
      <c r="E15" s="5">
        <f t="shared" si="15"/>
        <v>15000</v>
      </c>
      <c r="F15" s="5">
        <f t="shared" ref="F15:M15" si="17">0</f>
        <v>0</v>
      </c>
      <c r="G15" s="5">
        <f t="shared" si="17"/>
        <v>0</v>
      </c>
      <c r="H15" s="5">
        <f t="shared" si="17"/>
        <v>0</v>
      </c>
      <c r="I15" s="5">
        <f t="shared" si="17"/>
        <v>0</v>
      </c>
      <c r="J15" s="5">
        <f t="shared" si="17"/>
        <v>0</v>
      </c>
      <c r="K15" s="5">
        <f t="shared" si="17"/>
        <v>0</v>
      </c>
      <c r="L15" s="5">
        <f t="shared" si="17"/>
        <v>0</v>
      </c>
      <c r="M15" s="5">
        <f t="shared" si="17"/>
        <v>0</v>
      </c>
      <c r="N15" s="5">
        <f t="shared" si="1"/>
        <v>30000</v>
      </c>
      <c r="O15" s="5">
        <f t="shared" si="2"/>
        <v>0</v>
      </c>
      <c r="P15" s="5">
        <f t="shared" si="3"/>
        <v>0</v>
      </c>
      <c r="Q15" s="5">
        <f t="shared" si="4"/>
        <v>30000</v>
      </c>
    </row>
    <row r="16" spans="1:17">
      <c r="A16" s="3">
        <v>13</v>
      </c>
      <c r="B16" s="3" t="s">
        <v>30</v>
      </c>
      <c r="C16" s="4">
        <v>15</v>
      </c>
      <c r="D16" s="5">
        <f t="shared" si="14"/>
        <v>15000</v>
      </c>
      <c r="E16" s="5">
        <f t="shared" si="15"/>
        <v>15000</v>
      </c>
      <c r="F16" s="5">
        <f t="shared" ref="F16:M16" si="18">0</f>
        <v>0</v>
      </c>
      <c r="G16" s="5">
        <f t="shared" si="18"/>
        <v>0</v>
      </c>
      <c r="H16" s="5">
        <f t="shared" si="18"/>
        <v>0</v>
      </c>
      <c r="I16" s="5">
        <f t="shared" si="18"/>
        <v>0</v>
      </c>
      <c r="J16" s="5">
        <f t="shared" si="18"/>
        <v>0</v>
      </c>
      <c r="K16" s="5">
        <f t="shared" si="18"/>
        <v>0</v>
      </c>
      <c r="L16" s="5">
        <f t="shared" si="18"/>
        <v>0</v>
      </c>
      <c r="M16" s="5">
        <f t="shared" si="18"/>
        <v>0</v>
      </c>
      <c r="N16" s="5">
        <f t="shared" si="1"/>
        <v>30000</v>
      </c>
      <c r="O16" s="5">
        <f t="shared" si="2"/>
        <v>0</v>
      </c>
      <c r="P16" s="5">
        <f t="shared" si="3"/>
        <v>0</v>
      </c>
      <c r="Q16" s="5">
        <f t="shared" si="4"/>
        <v>30000</v>
      </c>
    </row>
    <row r="17" spans="1:17">
      <c r="A17" s="3">
        <v>14</v>
      </c>
      <c r="B17" s="3" t="s">
        <v>31</v>
      </c>
      <c r="C17" s="4">
        <v>15</v>
      </c>
      <c r="D17" s="5">
        <f t="shared" si="14"/>
        <v>15000</v>
      </c>
      <c r="E17" s="5">
        <f t="shared" si="15"/>
        <v>15000</v>
      </c>
      <c r="F17" s="5">
        <f t="shared" ref="F17:M17" si="19">0</f>
        <v>0</v>
      </c>
      <c r="G17" s="5">
        <f t="shared" si="19"/>
        <v>0</v>
      </c>
      <c r="H17" s="5">
        <f t="shared" si="19"/>
        <v>0</v>
      </c>
      <c r="I17" s="5">
        <f t="shared" si="19"/>
        <v>0</v>
      </c>
      <c r="J17" s="5">
        <f t="shared" si="19"/>
        <v>0</v>
      </c>
      <c r="K17" s="5">
        <f t="shared" si="19"/>
        <v>0</v>
      </c>
      <c r="L17" s="5">
        <f t="shared" si="19"/>
        <v>0</v>
      </c>
      <c r="M17" s="5">
        <f t="shared" si="19"/>
        <v>0</v>
      </c>
      <c r="N17" s="5">
        <f t="shared" si="1"/>
        <v>30000</v>
      </c>
      <c r="O17" s="5">
        <f t="shared" si="2"/>
        <v>0</v>
      </c>
      <c r="P17" s="5">
        <f t="shared" si="3"/>
        <v>0</v>
      </c>
      <c r="Q17" s="5">
        <f t="shared" si="4"/>
        <v>30000</v>
      </c>
    </row>
    <row r="18" spans="1:17">
      <c r="A18" s="3">
        <v>15</v>
      </c>
      <c r="B18" s="3" t="s">
        <v>32</v>
      </c>
      <c r="C18" s="4">
        <v>15</v>
      </c>
      <c r="D18" s="5">
        <f t="shared" si="14"/>
        <v>15000</v>
      </c>
      <c r="E18" s="5">
        <f t="shared" si="15"/>
        <v>15000</v>
      </c>
      <c r="F18" s="5">
        <f t="shared" ref="F18:M18" si="20">0</f>
        <v>0</v>
      </c>
      <c r="G18" s="5">
        <f t="shared" si="20"/>
        <v>0</v>
      </c>
      <c r="H18" s="5">
        <f t="shared" si="20"/>
        <v>0</v>
      </c>
      <c r="I18" s="5">
        <f t="shared" si="20"/>
        <v>0</v>
      </c>
      <c r="J18" s="5">
        <f t="shared" si="20"/>
        <v>0</v>
      </c>
      <c r="K18" s="5">
        <f t="shared" si="20"/>
        <v>0</v>
      </c>
      <c r="L18" s="5">
        <f t="shared" si="20"/>
        <v>0</v>
      </c>
      <c r="M18" s="5">
        <f t="shared" si="20"/>
        <v>0</v>
      </c>
      <c r="N18" s="5">
        <f t="shared" si="1"/>
        <v>30000</v>
      </c>
      <c r="O18" s="5">
        <f t="shared" si="2"/>
        <v>0</v>
      </c>
      <c r="P18" s="5">
        <f t="shared" si="3"/>
        <v>0</v>
      </c>
      <c r="Q18" s="5">
        <f t="shared" si="4"/>
        <v>30000</v>
      </c>
    </row>
    <row r="19" spans="1:17">
      <c r="A19" s="3">
        <v>16</v>
      </c>
      <c r="B19" s="3" t="s">
        <v>33</v>
      </c>
      <c r="C19" s="4">
        <v>15</v>
      </c>
      <c r="D19" s="5">
        <f t="shared" si="14"/>
        <v>15000</v>
      </c>
      <c r="E19" s="5">
        <f t="shared" si="15"/>
        <v>15000</v>
      </c>
      <c r="F19" s="5">
        <f t="shared" ref="F19:M19" si="21">0</f>
        <v>0</v>
      </c>
      <c r="G19" s="5">
        <f t="shared" si="21"/>
        <v>0</v>
      </c>
      <c r="H19" s="5">
        <f t="shared" si="21"/>
        <v>0</v>
      </c>
      <c r="I19" s="5">
        <f t="shared" si="21"/>
        <v>0</v>
      </c>
      <c r="J19" s="5">
        <f t="shared" si="21"/>
        <v>0</v>
      </c>
      <c r="K19" s="5">
        <f t="shared" si="21"/>
        <v>0</v>
      </c>
      <c r="L19" s="5">
        <f t="shared" si="21"/>
        <v>0</v>
      </c>
      <c r="M19" s="5">
        <f t="shared" si="21"/>
        <v>0</v>
      </c>
      <c r="N19" s="5">
        <f t="shared" si="1"/>
        <v>30000</v>
      </c>
      <c r="O19" s="5">
        <f t="shared" si="2"/>
        <v>0</v>
      </c>
      <c r="P19" s="5">
        <f t="shared" si="3"/>
        <v>0</v>
      </c>
      <c r="Q19" s="5">
        <f t="shared" si="4"/>
        <v>30000</v>
      </c>
    </row>
    <row r="20" spans="1:17">
      <c r="A20" s="3">
        <v>17</v>
      </c>
      <c r="B20" s="3" t="s">
        <v>34</v>
      </c>
      <c r="C20" s="4">
        <v>15</v>
      </c>
      <c r="D20" s="5">
        <f t="shared" si="14"/>
        <v>15000</v>
      </c>
      <c r="E20" s="5">
        <f t="shared" si="15"/>
        <v>15000</v>
      </c>
      <c r="F20" s="5">
        <f t="shared" ref="F20:M20" si="22">0</f>
        <v>0</v>
      </c>
      <c r="G20" s="5">
        <f t="shared" si="22"/>
        <v>0</v>
      </c>
      <c r="H20" s="5">
        <f t="shared" si="22"/>
        <v>0</v>
      </c>
      <c r="I20" s="5">
        <f t="shared" si="22"/>
        <v>0</v>
      </c>
      <c r="J20" s="5">
        <f t="shared" si="22"/>
        <v>0</v>
      </c>
      <c r="K20" s="5">
        <f t="shared" si="22"/>
        <v>0</v>
      </c>
      <c r="L20" s="5">
        <f t="shared" si="22"/>
        <v>0</v>
      </c>
      <c r="M20" s="5">
        <f t="shared" si="22"/>
        <v>0</v>
      </c>
      <c r="N20" s="5">
        <f t="shared" si="1"/>
        <v>30000</v>
      </c>
      <c r="O20" s="5">
        <f t="shared" si="2"/>
        <v>0</v>
      </c>
      <c r="P20" s="5">
        <f t="shared" si="3"/>
        <v>0</v>
      </c>
      <c r="Q20" s="5">
        <f t="shared" si="4"/>
        <v>30000</v>
      </c>
    </row>
    <row r="21" spans="1:17">
      <c r="A21" s="3">
        <v>18</v>
      </c>
      <c r="B21" s="3" t="s">
        <v>35</v>
      </c>
      <c r="C21" s="4">
        <v>15</v>
      </c>
      <c r="D21" s="5">
        <f t="shared" si="14"/>
        <v>15000</v>
      </c>
      <c r="E21" s="5">
        <f t="shared" si="15"/>
        <v>15000</v>
      </c>
      <c r="F21" s="5">
        <f t="shared" ref="F21:M21" si="23">0</f>
        <v>0</v>
      </c>
      <c r="G21" s="5">
        <f t="shared" si="23"/>
        <v>0</v>
      </c>
      <c r="H21" s="5">
        <f t="shared" si="23"/>
        <v>0</v>
      </c>
      <c r="I21" s="5">
        <f t="shared" si="23"/>
        <v>0</v>
      </c>
      <c r="J21" s="5">
        <f t="shared" si="23"/>
        <v>0</v>
      </c>
      <c r="K21" s="5">
        <f t="shared" si="23"/>
        <v>0</v>
      </c>
      <c r="L21" s="5">
        <f t="shared" si="23"/>
        <v>0</v>
      </c>
      <c r="M21" s="5">
        <f t="shared" si="23"/>
        <v>0</v>
      </c>
      <c r="N21" s="5">
        <f t="shared" si="1"/>
        <v>30000</v>
      </c>
      <c r="O21" s="5">
        <f t="shared" si="2"/>
        <v>0</v>
      </c>
      <c r="P21" s="5">
        <f t="shared" si="3"/>
        <v>0</v>
      </c>
      <c r="Q21" s="5">
        <f t="shared" si="4"/>
        <v>30000</v>
      </c>
    </row>
    <row r="22" spans="1:17">
      <c r="A22" s="3">
        <v>19</v>
      </c>
      <c r="B22" s="3" t="s">
        <v>36</v>
      </c>
      <c r="C22" s="4">
        <v>20</v>
      </c>
      <c r="D22" s="5">
        <f t="shared" si="14"/>
        <v>20000</v>
      </c>
      <c r="E22" s="5">
        <f t="shared" si="15"/>
        <v>20000</v>
      </c>
      <c r="F22" s="5">
        <f t="shared" ref="F22:M22" si="24">0</f>
        <v>0</v>
      </c>
      <c r="G22" s="5">
        <f t="shared" si="24"/>
        <v>0</v>
      </c>
      <c r="H22" s="5">
        <f t="shared" si="24"/>
        <v>0</v>
      </c>
      <c r="I22" s="5">
        <f t="shared" si="24"/>
        <v>0</v>
      </c>
      <c r="J22" s="5">
        <f t="shared" si="24"/>
        <v>0</v>
      </c>
      <c r="K22" s="5">
        <f t="shared" si="24"/>
        <v>0</v>
      </c>
      <c r="L22" s="5">
        <f t="shared" si="24"/>
        <v>0</v>
      </c>
      <c r="M22" s="5">
        <f t="shared" si="24"/>
        <v>0</v>
      </c>
      <c r="N22" s="5">
        <f t="shared" si="1"/>
        <v>40000</v>
      </c>
      <c r="O22" s="5">
        <f t="shared" si="2"/>
        <v>0</v>
      </c>
      <c r="P22" s="5">
        <f t="shared" si="3"/>
        <v>0</v>
      </c>
      <c r="Q22" s="5">
        <f t="shared" si="4"/>
        <v>40000</v>
      </c>
    </row>
    <row r="23" spans="1:17">
      <c r="A23" s="3">
        <v>20</v>
      </c>
      <c r="B23" s="3" t="s">
        <v>37</v>
      </c>
      <c r="C23" s="4">
        <v>20</v>
      </c>
      <c r="D23" s="5">
        <f t="shared" si="14"/>
        <v>20000</v>
      </c>
      <c r="E23" s="5">
        <f t="shared" ref="E23:M23" si="25">0</f>
        <v>0</v>
      </c>
      <c r="F23" s="5">
        <f t="shared" si="25"/>
        <v>0</v>
      </c>
      <c r="G23" s="5">
        <f t="shared" si="25"/>
        <v>0</v>
      </c>
      <c r="H23" s="5">
        <f t="shared" si="25"/>
        <v>0</v>
      </c>
      <c r="I23" s="5">
        <f t="shared" si="25"/>
        <v>0</v>
      </c>
      <c r="J23" s="5">
        <f t="shared" si="25"/>
        <v>0</v>
      </c>
      <c r="K23" s="5">
        <f t="shared" si="25"/>
        <v>0</v>
      </c>
      <c r="L23" s="5">
        <f t="shared" si="25"/>
        <v>0</v>
      </c>
      <c r="M23" s="5">
        <f t="shared" si="25"/>
        <v>0</v>
      </c>
      <c r="N23" s="5">
        <f t="shared" si="1"/>
        <v>20000</v>
      </c>
      <c r="O23" s="5">
        <f t="shared" si="2"/>
        <v>0</v>
      </c>
      <c r="P23" s="5">
        <f t="shared" si="3"/>
        <v>0</v>
      </c>
      <c r="Q23" s="5">
        <f t="shared" si="4"/>
        <v>20000</v>
      </c>
    </row>
    <row r="24" spans="1:17">
      <c r="A24" s="3">
        <v>21</v>
      </c>
      <c r="B24" s="3" t="s">
        <v>38</v>
      </c>
      <c r="C24" s="4">
        <v>20</v>
      </c>
      <c r="D24" s="5">
        <f t="shared" si="14"/>
        <v>20000</v>
      </c>
      <c r="E24" s="5">
        <f>C24*1000</f>
        <v>20000</v>
      </c>
      <c r="F24" s="5">
        <f t="shared" ref="F24:M24" si="26">0</f>
        <v>0</v>
      </c>
      <c r="G24" s="5">
        <f t="shared" si="26"/>
        <v>0</v>
      </c>
      <c r="H24" s="5">
        <f t="shared" si="26"/>
        <v>0</v>
      </c>
      <c r="I24" s="5">
        <f t="shared" si="26"/>
        <v>0</v>
      </c>
      <c r="J24" s="5">
        <f t="shared" si="26"/>
        <v>0</v>
      </c>
      <c r="K24" s="5">
        <f t="shared" si="26"/>
        <v>0</v>
      </c>
      <c r="L24" s="5">
        <f t="shared" si="26"/>
        <v>0</v>
      </c>
      <c r="M24" s="5">
        <f t="shared" si="26"/>
        <v>0</v>
      </c>
      <c r="N24" s="5">
        <f t="shared" si="1"/>
        <v>40000</v>
      </c>
      <c r="O24" s="5">
        <f t="shared" si="2"/>
        <v>0</v>
      </c>
      <c r="P24" s="5">
        <f t="shared" si="3"/>
        <v>0</v>
      </c>
      <c r="Q24" s="5">
        <f t="shared" si="4"/>
        <v>40000</v>
      </c>
    </row>
    <row r="25" spans="1:17">
      <c r="A25" s="3">
        <v>22</v>
      </c>
      <c r="B25" s="3" t="s">
        <v>39</v>
      </c>
      <c r="C25" s="4">
        <v>20</v>
      </c>
      <c r="D25" s="5">
        <f t="shared" si="14"/>
        <v>20000</v>
      </c>
      <c r="E25" s="5">
        <f>C25*1000</f>
        <v>20000</v>
      </c>
      <c r="F25" s="5">
        <f t="shared" ref="F25:M25" si="27">0</f>
        <v>0</v>
      </c>
      <c r="G25" s="5">
        <f t="shared" si="27"/>
        <v>0</v>
      </c>
      <c r="H25" s="5">
        <f t="shared" si="27"/>
        <v>0</v>
      </c>
      <c r="I25" s="5">
        <f t="shared" si="27"/>
        <v>0</v>
      </c>
      <c r="J25" s="5">
        <f t="shared" si="27"/>
        <v>0</v>
      </c>
      <c r="K25" s="5">
        <f t="shared" si="27"/>
        <v>0</v>
      </c>
      <c r="L25" s="5">
        <f t="shared" si="27"/>
        <v>0</v>
      </c>
      <c r="M25" s="5">
        <f t="shared" si="27"/>
        <v>0</v>
      </c>
      <c r="N25" s="5">
        <f t="shared" si="1"/>
        <v>40000</v>
      </c>
      <c r="O25" s="5">
        <f t="shared" si="2"/>
        <v>0</v>
      </c>
      <c r="P25" s="5">
        <f t="shared" si="3"/>
        <v>0</v>
      </c>
      <c r="Q25" s="5">
        <f t="shared" si="4"/>
        <v>40000</v>
      </c>
    </row>
    <row r="26" spans="1:17">
      <c r="A26" s="3">
        <v>23</v>
      </c>
      <c r="B26" s="3" t="s">
        <v>40</v>
      </c>
      <c r="C26" s="4">
        <v>20</v>
      </c>
      <c r="D26" s="5">
        <f t="shared" si="14"/>
        <v>20000</v>
      </c>
      <c r="E26" s="5">
        <f>C26*1000</f>
        <v>20000</v>
      </c>
      <c r="F26" s="5">
        <f t="shared" ref="F26:M26" si="28">0</f>
        <v>0</v>
      </c>
      <c r="G26" s="5">
        <f t="shared" si="28"/>
        <v>0</v>
      </c>
      <c r="H26" s="5">
        <f t="shared" si="28"/>
        <v>0</v>
      </c>
      <c r="I26" s="5">
        <f t="shared" si="28"/>
        <v>0</v>
      </c>
      <c r="J26" s="5">
        <f t="shared" si="28"/>
        <v>0</v>
      </c>
      <c r="K26" s="5">
        <f t="shared" si="28"/>
        <v>0</v>
      </c>
      <c r="L26" s="5">
        <f t="shared" si="28"/>
        <v>0</v>
      </c>
      <c r="M26" s="5">
        <f t="shared" si="28"/>
        <v>0</v>
      </c>
      <c r="N26" s="5">
        <f t="shared" si="1"/>
        <v>40000</v>
      </c>
      <c r="O26" s="5">
        <f t="shared" si="2"/>
        <v>0</v>
      </c>
      <c r="P26" s="5">
        <f t="shared" si="3"/>
        <v>0</v>
      </c>
      <c r="Q26" s="5">
        <f t="shared" si="4"/>
        <v>40000</v>
      </c>
    </row>
    <row r="27" spans="1:17">
      <c r="A27" s="3">
        <v>24</v>
      </c>
      <c r="B27" s="3" t="s">
        <v>41</v>
      </c>
      <c r="C27" s="4">
        <v>20</v>
      </c>
      <c r="D27" s="5">
        <f t="shared" si="14"/>
        <v>20000</v>
      </c>
      <c r="E27" s="5">
        <f t="shared" ref="E27:M27" si="29">0</f>
        <v>0</v>
      </c>
      <c r="F27" s="5">
        <f t="shared" si="29"/>
        <v>0</v>
      </c>
      <c r="G27" s="5">
        <f t="shared" si="29"/>
        <v>0</v>
      </c>
      <c r="H27" s="5">
        <f t="shared" si="29"/>
        <v>0</v>
      </c>
      <c r="I27" s="5">
        <f t="shared" si="29"/>
        <v>0</v>
      </c>
      <c r="J27" s="5">
        <f t="shared" si="29"/>
        <v>0</v>
      </c>
      <c r="K27" s="5">
        <f t="shared" si="29"/>
        <v>0</v>
      </c>
      <c r="L27" s="5">
        <f t="shared" si="29"/>
        <v>0</v>
      </c>
      <c r="M27" s="5">
        <f t="shared" si="29"/>
        <v>0</v>
      </c>
      <c r="N27" s="5">
        <f t="shared" si="1"/>
        <v>20000</v>
      </c>
      <c r="O27" s="5">
        <f t="shared" si="2"/>
        <v>0</v>
      </c>
      <c r="P27" s="5">
        <f t="shared" si="3"/>
        <v>0</v>
      </c>
      <c r="Q27" s="5">
        <f t="shared" si="4"/>
        <v>20000</v>
      </c>
    </row>
    <row r="28" spans="1:17">
      <c r="A28" s="3">
        <v>25</v>
      </c>
      <c r="B28" s="3" t="s">
        <v>42</v>
      </c>
      <c r="C28" s="4">
        <v>20</v>
      </c>
      <c r="D28" s="5">
        <f t="shared" si="14"/>
        <v>20000</v>
      </c>
      <c r="E28" s="5">
        <f>C28*1000</f>
        <v>20000</v>
      </c>
      <c r="F28" s="5">
        <f t="shared" ref="F28:M28" si="30">0</f>
        <v>0</v>
      </c>
      <c r="G28" s="5">
        <f t="shared" si="30"/>
        <v>0</v>
      </c>
      <c r="H28" s="5">
        <f t="shared" si="30"/>
        <v>0</v>
      </c>
      <c r="I28" s="5">
        <f t="shared" si="30"/>
        <v>0</v>
      </c>
      <c r="J28" s="5">
        <f t="shared" si="30"/>
        <v>0</v>
      </c>
      <c r="K28" s="5">
        <f t="shared" si="30"/>
        <v>0</v>
      </c>
      <c r="L28" s="5">
        <f t="shared" si="30"/>
        <v>0</v>
      </c>
      <c r="M28" s="5">
        <f t="shared" si="30"/>
        <v>0</v>
      </c>
      <c r="N28" s="5">
        <f t="shared" si="1"/>
        <v>40000</v>
      </c>
      <c r="O28" s="5">
        <f t="shared" si="2"/>
        <v>0</v>
      </c>
      <c r="P28" s="5">
        <f t="shared" si="3"/>
        <v>0</v>
      </c>
      <c r="Q28" s="5">
        <f t="shared" si="4"/>
        <v>40000</v>
      </c>
    </row>
    <row r="29" spans="1:17">
      <c r="A29" s="3">
        <v>26</v>
      </c>
      <c r="B29" s="3" t="s">
        <v>43</v>
      </c>
      <c r="C29" s="4">
        <v>25</v>
      </c>
      <c r="D29" s="5">
        <f t="shared" si="14"/>
        <v>25000</v>
      </c>
      <c r="E29" s="5">
        <f>C29*1000</f>
        <v>25000</v>
      </c>
      <c r="F29" s="5">
        <f t="shared" ref="F29:M29" si="31">0</f>
        <v>0</v>
      </c>
      <c r="G29" s="5">
        <f t="shared" si="31"/>
        <v>0</v>
      </c>
      <c r="H29" s="5">
        <f t="shared" si="31"/>
        <v>0</v>
      </c>
      <c r="I29" s="5">
        <f t="shared" si="31"/>
        <v>0</v>
      </c>
      <c r="J29" s="5">
        <f t="shared" si="31"/>
        <v>0</v>
      </c>
      <c r="K29" s="5">
        <f t="shared" si="31"/>
        <v>0</v>
      </c>
      <c r="L29" s="5">
        <f t="shared" si="31"/>
        <v>0</v>
      </c>
      <c r="M29" s="5">
        <f t="shared" si="31"/>
        <v>0</v>
      </c>
      <c r="N29" s="5">
        <f t="shared" si="1"/>
        <v>50000</v>
      </c>
      <c r="O29" s="5">
        <f t="shared" si="2"/>
        <v>0</v>
      </c>
      <c r="P29" s="5">
        <f t="shared" si="3"/>
        <v>0</v>
      </c>
      <c r="Q29" s="5">
        <f t="shared" si="4"/>
        <v>50000</v>
      </c>
    </row>
    <row r="30" spans="1:17">
      <c r="A30" s="3">
        <v>27</v>
      </c>
      <c r="B30" s="3" t="s">
        <v>44</v>
      </c>
      <c r="C30" s="4">
        <v>25</v>
      </c>
      <c r="D30" s="5">
        <f t="shared" si="14"/>
        <v>25000</v>
      </c>
      <c r="E30" s="5">
        <f>C30*1000</f>
        <v>25000</v>
      </c>
      <c r="F30" s="5">
        <f t="shared" ref="F30:M30" si="32">0</f>
        <v>0</v>
      </c>
      <c r="G30" s="5">
        <f t="shared" si="32"/>
        <v>0</v>
      </c>
      <c r="H30" s="5">
        <f t="shared" si="32"/>
        <v>0</v>
      </c>
      <c r="I30" s="5">
        <f t="shared" si="32"/>
        <v>0</v>
      </c>
      <c r="J30" s="5">
        <f t="shared" si="32"/>
        <v>0</v>
      </c>
      <c r="K30" s="5">
        <f t="shared" si="32"/>
        <v>0</v>
      </c>
      <c r="L30" s="5">
        <f t="shared" si="32"/>
        <v>0</v>
      </c>
      <c r="M30" s="5">
        <f t="shared" si="32"/>
        <v>0</v>
      </c>
      <c r="N30" s="5">
        <f t="shared" si="1"/>
        <v>50000</v>
      </c>
      <c r="O30" s="5">
        <f t="shared" si="2"/>
        <v>0</v>
      </c>
      <c r="P30" s="5">
        <f t="shared" si="3"/>
        <v>0</v>
      </c>
      <c r="Q30" s="5">
        <f t="shared" si="4"/>
        <v>50000</v>
      </c>
    </row>
    <row r="31" spans="1:17">
      <c r="A31" s="3">
        <v>28</v>
      </c>
      <c r="B31" s="3" t="s">
        <v>45</v>
      </c>
      <c r="C31" s="4">
        <v>25</v>
      </c>
      <c r="D31" s="5">
        <f t="shared" si="14"/>
        <v>25000</v>
      </c>
      <c r="E31" s="5">
        <f>C31*1000</f>
        <v>25000</v>
      </c>
      <c r="F31" s="5">
        <f t="shared" ref="F31:M31" si="33">0</f>
        <v>0</v>
      </c>
      <c r="G31" s="5">
        <f t="shared" si="33"/>
        <v>0</v>
      </c>
      <c r="H31" s="5">
        <f t="shared" si="33"/>
        <v>0</v>
      </c>
      <c r="I31" s="5">
        <f t="shared" si="33"/>
        <v>0</v>
      </c>
      <c r="J31" s="5">
        <f t="shared" si="33"/>
        <v>0</v>
      </c>
      <c r="K31" s="5">
        <f t="shared" si="33"/>
        <v>0</v>
      </c>
      <c r="L31" s="5">
        <f t="shared" si="33"/>
        <v>0</v>
      </c>
      <c r="M31" s="5">
        <f t="shared" si="33"/>
        <v>0</v>
      </c>
      <c r="N31" s="5">
        <f t="shared" si="1"/>
        <v>50000</v>
      </c>
      <c r="O31" s="5">
        <f t="shared" si="2"/>
        <v>0</v>
      </c>
      <c r="P31" s="5">
        <f t="shared" si="3"/>
        <v>0</v>
      </c>
      <c r="Q31" s="5">
        <f t="shared" si="4"/>
        <v>50000</v>
      </c>
    </row>
    <row r="32" spans="1:17">
      <c r="A32" s="3">
        <v>29</v>
      </c>
      <c r="B32" s="3" t="s">
        <v>46</v>
      </c>
      <c r="C32" s="4">
        <v>25</v>
      </c>
      <c r="D32" s="5">
        <f t="shared" si="14"/>
        <v>25000</v>
      </c>
      <c r="E32" s="5">
        <f>C32*1000</f>
        <v>25000</v>
      </c>
      <c r="F32" s="5">
        <f t="shared" ref="F32:M32" si="34">0</f>
        <v>0</v>
      </c>
      <c r="G32" s="5">
        <f t="shared" si="34"/>
        <v>0</v>
      </c>
      <c r="H32" s="5">
        <f t="shared" si="34"/>
        <v>0</v>
      </c>
      <c r="I32" s="5">
        <f t="shared" si="34"/>
        <v>0</v>
      </c>
      <c r="J32" s="5">
        <f t="shared" si="34"/>
        <v>0</v>
      </c>
      <c r="K32" s="5">
        <f t="shared" si="34"/>
        <v>0</v>
      </c>
      <c r="L32" s="5">
        <f t="shared" si="34"/>
        <v>0</v>
      </c>
      <c r="M32" s="5">
        <f t="shared" si="34"/>
        <v>0</v>
      </c>
      <c r="N32" s="5">
        <f t="shared" si="1"/>
        <v>50000</v>
      </c>
      <c r="O32" s="5">
        <f t="shared" si="2"/>
        <v>0</v>
      </c>
      <c r="P32" s="5">
        <f t="shared" si="3"/>
        <v>0</v>
      </c>
      <c r="Q32" s="5">
        <f t="shared" si="4"/>
        <v>50000</v>
      </c>
    </row>
    <row r="33" spans="1:17">
      <c r="A33" s="3">
        <v>30</v>
      </c>
      <c r="B33" s="3" t="s">
        <v>47</v>
      </c>
      <c r="C33" s="4">
        <v>25</v>
      </c>
      <c r="D33" s="5">
        <f>20000</f>
        <v>20000</v>
      </c>
      <c r="E33" s="5">
        <f>30000</f>
        <v>30000</v>
      </c>
      <c r="F33" s="5">
        <f t="shared" ref="F33:M33" si="35">0</f>
        <v>0</v>
      </c>
      <c r="G33" s="5">
        <f t="shared" si="35"/>
        <v>0</v>
      </c>
      <c r="H33" s="5">
        <f t="shared" si="35"/>
        <v>0</v>
      </c>
      <c r="I33" s="5">
        <f t="shared" si="35"/>
        <v>0</v>
      </c>
      <c r="J33" s="5">
        <f t="shared" si="35"/>
        <v>0</v>
      </c>
      <c r="K33" s="5">
        <f t="shared" si="35"/>
        <v>0</v>
      </c>
      <c r="L33" s="5">
        <f t="shared" si="35"/>
        <v>0</v>
      </c>
      <c r="M33" s="5">
        <f t="shared" si="35"/>
        <v>0</v>
      </c>
      <c r="N33" s="5">
        <f t="shared" si="1"/>
        <v>50000</v>
      </c>
      <c r="O33" s="5">
        <f t="shared" si="2"/>
        <v>0</v>
      </c>
      <c r="P33" s="5">
        <f t="shared" si="3"/>
        <v>0</v>
      </c>
      <c r="Q33" s="5">
        <f t="shared" si="4"/>
        <v>50000</v>
      </c>
    </row>
    <row r="34" spans="1:17">
      <c r="A34" s="3">
        <v>31</v>
      </c>
      <c r="B34" s="3" t="s">
        <v>48</v>
      </c>
      <c r="C34" s="4">
        <v>25</v>
      </c>
      <c r="D34" s="5">
        <f t="shared" ref="D34:D56" si="36">C34*1000</f>
        <v>25000</v>
      </c>
      <c r="E34" s="5">
        <f>C34*1000</f>
        <v>25000</v>
      </c>
      <c r="F34" s="5">
        <f t="shared" ref="F34:M34" si="37">0</f>
        <v>0</v>
      </c>
      <c r="G34" s="5">
        <f t="shared" si="37"/>
        <v>0</v>
      </c>
      <c r="H34" s="5">
        <f t="shared" si="37"/>
        <v>0</v>
      </c>
      <c r="I34" s="5">
        <f t="shared" si="37"/>
        <v>0</v>
      </c>
      <c r="J34" s="5">
        <f t="shared" si="37"/>
        <v>0</v>
      </c>
      <c r="K34" s="5">
        <f t="shared" si="37"/>
        <v>0</v>
      </c>
      <c r="L34" s="5">
        <f t="shared" si="37"/>
        <v>0</v>
      </c>
      <c r="M34" s="5">
        <f t="shared" si="37"/>
        <v>0</v>
      </c>
      <c r="N34" s="5">
        <f t="shared" si="1"/>
        <v>50000</v>
      </c>
      <c r="O34" s="5">
        <f t="shared" si="2"/>
        <v>0</v>
      </c>
      <c r="P34" s="5">
        <f t="shared" si="3"/>
        <v>0</v>
      </c>
      <c r="Q34" s="5">
        <f t="shared" si="4"/>
        <v>50000</v>
      </c>
    </row>
    <row r="35" spans="1:17">
      <c r="A35" s="3">
        <v>32</v>
      </c>
      <c r="B35" s="3" t="s">
        <v>49</v>
      </c>
      <c r="C35" s="4">
        <v>30</v>
      </c>
      <c r="D35" s="5">
        <f t="shared" si="36"/>
        <v>30000</v>
      </c>
      <c r="E35" s="5">
        <f>C35*1000</f>
        <v>30000</v>
      </c>
      <c r="F35" s="5">
        <f t="shared" ref="F35:M35" si="38">0</f>
        <v>0</v>
      </c>
      <c r="G35" s="5">
        <f t="shared" si="38"/>
        <v>0</v>
      </c>
      <c r="H35" s="5">
        <f t="shared" si="38"/>
        <v>0</v>
      </c>
      <c r="I35" s="5">
        <f t="shared" si="38"/>
        <v>0</v>
      </c>
      <c r="J35" s="5">
        <f t="shared" si="38"/>
        <v>0</v>
      </c>
      <c r="K35" s="5">
        <f t="shared" si="38"/>
        <v>0</v>
      </c>
      <c r="L35" s="5">
        <f t="shared" si="38"/>
        <v>0</v>
      </c>
      <c r="M35" s="5">
        <f t="shared" si="38"/>
        <v>0</v>
      </c>
      <c r="N35" s="5">
        <f t="shared" si="1"/>
        <v>60000</v>
      </c>
      <c r="O35" s="5">
        <f t="shared" si="2"/>
        <v>0</v>
      </c>
      <c r="P35" s="5">
        <f t="shared" si="3"/>
        <v>0</v>
      </c>
      <c r="Q35" s="5">
        <f t="shared" si="4"/>
        <v>60000</v>
      </c>
    </row>
    <row r="36" spans="1:17">
      <c r="A36" s="3">
        <v>33</v>
      </c>
      <c r="B36" s="3" t="s">
        <v>50</v>
      </c>
      <c r="C36" s="4">
        <v>30</v>
      </c>
      <c r="D36" s="5">
        <f t="shared" si="36"/>
        <v>30000</v>
      </c>
      <c r="E36" s="5">
        <f>C36*1000</f>
        <v>30000</v>
      </c>
      <c r="F36" s="5">
        <f t="shared" ref="F36:M36" si="39">0</f>
        <v>0</v>
      </c>
      <c r="G36" s="5">
        <f t="shared" si="39"/>
        <v>0</v>
      </c>
      <c r="H36" s="5">
        <f t="shared" si="39"/>
        <v>0</v>
      </c>
      <c r="I36" s="5">
        <f t="shared" si="39"/>
        <v>0</v>
      </c>
      <c r="J36" s="5">
        <f t="shared" si="39"/>
        <v>0</v>
      </c>
      <c r="K36" s="5">
        <f t="shared" si="39"/>
        <v>0</v>
      </c>
      <c r="L36" s="5">
        <f t="shared" si="39"/>
        <v>0</v>
      </c>
      <c r="M36" s="5">
        <f t="shared" si="39"/>
        <v>0</v>
      </c>
      <c r="N36" s="5">
        <f t="shared" si="1"/>
        <v>60000</v>
      </c>
      <c r="O36" s="5">
        <f t="shared" si="2"/>
        <v>0</v>
      </c>
      <c r="P36" s="5">
        <f t="shared" si="3"/>
        <v>0</v>
      </c>
      <c r="Q36" s="5">
        <f t="shared" si="4"/>
        <v>60000</v>
      </c>
    </row>
    <row r="37" spans="1:17">
      <c r="A37" s="3">
        <v>34</v>
      </c>
      <c r="B37" s="3" t="s">
        <v>51</v>
      </c>
      <c r="C37" s="4">
        <v>30</v>
      </c>
      <c r="D37" s="5">
        <f t="shared" si="36"/>
        <v>30000</v>
      </c>
      <c r="E37" s="5">
        <f>C37*1000</f>
        <v>30000</v>
      </c>
      <c r="F37" s="5">
        <f t="shared" ref="F37:M37" si="40">0</f>
        <v>0</v>
      </c>
      <c r="G37" s="5">
        <f t="shared" si="40"/>
        <v>0</v>
      </c>
      <c r="H37" s="5">
        <f t="shared" si="40"/>
        <v>0</v>
      </c>
      <c r="I37" s="5">
        <f t="shared" si="40"/>
        <v>0</v>
      </c>
      <c r="J37" s="5">
        <f t="shared" si="40"/>
        <v>0</v>
      </c>
      <c r="K37" s="5">
        <f t="shared" si="40"/>
        <v>0</v>
      </c>
      <c r="L37" s="5">
        <f t="shared" si="40"/>
        <v>0</v>
      </c>
      <c r="M37" s="5">
        <f t="shared" si="40"/>
        <v>0</v>
      </c>
      <c r="N37" s="5">
        <f t="shared" si="1"/>
        <v>60000</v>
      </c>
      <c r="O37" s="5">
        <f t="shared" si="2"/>
        <v>0</v>
      </c>
      <c r="P37" s="5">
        <f t="shared" si="3"/>
        <v>0</v>
      </c>
      <c r="Q37" s="5">
        <f t="shared" si="4"/>
        <v>60000</v>
      </c>
    </row>
    <row r="38" spans="1:17">
      <c r="A38" s="3">
        <v>35</v>
      </c>
      <c r="B38" s="3" t="s">
        <v>52</v>
      </c>
      <c r="C38" s="4">
        <v>30</v>
      </c>
      <c r="D38" s="5">
        <f t="shared" si="36"/>
        <v>30000</v>
      </c>
      <c r="E38" s="5">
        <f t="shared" ref="E38:M38" si="41">0</f>
        <v>0</v>
      </c>
      <c r="F38" s="5">
        <f t="shared" si="41"/>
        <v>0</v>
      </c>
      <c r="G38" s="5">
        <f t="shared" si="41"/>
        <v>0</v>
      </c>
      <c r="H38" s="5">
        <f t="shared" si="41"/>
        <v>0</v>
      </c>
      <c r="I38" s="5">
        <f t="shared" si="41"/>
        <v>0</v>
      </c>
      <c r="J38" s="5">
        <f t="shared" si="41"/>
        <v>0</v>
      </c>
      <c r="K38" s="5">
        <f t="shared" si="41"/>
        <v>0</v>
      </c>
      <c r="L38" s="5">
        <f t="shared" si="41"/>
        <v>0</v>
      </c>
      <c r="M38" s="5">
        <f t="shared" si="41"/>
        <v>0</v>
      </c>
      <c r="N38" s="5">
        <f t="shared" si="1"/>
        <v>30000</v>
      </c>
      <c r="O38" s="5">
        <f t="shared" si="2"/>
        <v>0</v>
      </c>
      <c r="P38" s="5">
        <f t="shared" si="3"/>
        <v>0</v>
      </c>
      <c r="Q38" s="5">
        <f t="shared" si="4"/>
        <v>30000</v>
      </c>
    </row>
    <row r="39" spans="1:17">
      <c r="A39" s="3">
        <v>36</v>
      </c>
      <c r="B39" s="3" t="s">
        <v>53</v>
      </c>
      <c r="C39" s="4">
        <v>40</v>
      </c>
      <c r="D39" s="5">
        <f t="shared" si="36"/>
        <v>40000</v>
      </c>
      <c r="E39" s="5">
        <f>C39*1000</f>
        <v>40000</v>
      </c>
      <c r="F39" s="5">
        <f t="shared" ref="F39:M39" si="42">0</f>
        <v>0</v>
      </c>
      <c r="G39" s="5">
        <f t="shared" si="42"/>
        <v>0</v>
      </c>
      <c r="H39" s="5">
        <f t="shared" si="42"/>
        <v>0</v>
      </c>
      <c r="I39" s="5">
        <f t="shared" si="42"/>
        <v>0</v>
      </c>
      <c r="J39" s="5">
        <f t="shared" si="42"/>
        <v>0</v>
      </c>
      <c r="K39" s="5">
        <f t="shared" si="42"/>
        <v>0</v>
      </c>
      <c r="L39" s="5">
        <f t="shared" si="42"/>
        <v>0</v>
      </c>
      <c r="M39" s="5">
        <f t="shared" si="42"/>
        <v>0</v>
      </c>
      <c r="N39" s="5">
        <f t="shared" si="1"/>
        <v>80000</v>
      </c>
      <c r="O39" s="5">
        <f t="shared" si="2"/>
        <v>0</v>
      </c>
      <c r="P39" s="5">
        <f t="shared" si="3"/>
        <v>0</v>
      </c>
      <c r="Q39" s="5">
        <f t="shared" si="4"/>
        <v>80000</v>
      </c>
    </row>
    <row r="40" spans="1:17">
      <c r="A40" s="3">
        <v>37</v>
      </c>
      <c r="B40" s="3" t="s">
        <v>54</v>
      </c>
      <c r="C40" s="4">
        <v>40</v>
      </c>
      <c r="D40" s="5">
        <f t="shared" si="36"/>
        <v>40000</v>
      </c>
      <c r="E40" s="5">
        <f t="shared" ref="E40:M40" si="43">0</f>
        <v>0</v>
      </c>
      <c r="F40" s="5">
        <f t="shared" si="43"/>
        <v>0</v>
      </c>
      <c r="G40" s="5">
        <f t="shared" si="43"/>
        <v>0</v>
      </c>
      <c r="H40" s="5">
        <f t="shared" si="43"/>
        <v>0</v>
      </c>
      <c r="I40" s="5">
        <f t="shared" si="43"/>
        <v>0</v>
      </c>
      <c r="J40" s="5">
        <f t="shared" si="43"/>
        <v>0</v>
      </c>
      <c r="K40" s="5">
        <f t="shared" si="43"/>
        <v>0</v>
      </c>
      <c r="L40" s="5">
        <f t="shared" si="43"/>
        <v>0</v>
      </c>
      <c r="M40" s="5">
        <f t="shared" si="43"/>
        <v>0</v>
      </c>
      <c r="N40" s="5">
        <f t="shared" si="1"/>
        <v>40000</v>
      </c>
      <c r="O40" s="5">
        <f t="shared" si="2"/>
        <v>0</v>
      </c>
      <c r="P40" s="5">
        <f t="shared" si="3"/>
        <v>0</v>
      </c>
      <c r="Q40" s="5">
        <f t="shared" si="4"/>
        <v>40000</v>
      </c>
    </row>
    <row r="41" spans="1:17">
      <c r="A41" s="3">
        <v>38</v>
      </c>
      <c r="B41" s="3" t="s">
        <v>55</v>
      </c>
      <c r="C41" s="4">
        <v>40</v>
      </c>
      <c r="D41" s="5">
        <f t="shared" si="36"/>
        <v>40000</v>
      </c>
      <c r="E41" s="5">
        <f t="shared" ref="E41:E56" si="44">C41*1000</f>
        <v>40000</v>
      </c>
      <c r="F41" s="5">
        <f t="shared" ref="F41:M41" si="45">0</f>
        <v>0</v>
      </c>
      <c r="G41" s="5">
        <f t="shared" si="45"/>
        <v>0</v>
      </c>
      <c r="H41" s="5">
        <f t="shared" si="45"/>
        <v>0</v>
      </c>
      <c r="I41" s="5">
        <f t="shared" si="45"/>
        <v>0</v>
      </c>
      <c r="J41" s="5">
        <f t="shared" si="45"/>
        <v>0</v>
      </c>
      <c r="K41" s="5">
        <f t="shared" si="45"/>
        <v>0</v>
      </c>
      <c r="L41" s="5">
        <f t="shared" si="45"/>
        <v>0</v>
      </c>
      <c r="M41" s="5">
        <f t="shared" si="45"/>
        <v>0</v>
      </c>
      <c r="N41" s="5">
        <f t="shared" si="1"/>
        <v>80000</v>
      </c>
      <c r="O41" s="5">
        <f t="shared" si="2"/>
        <v>0</v>
      </c>
      <c r="P41" s="5">
        <f t="shared" si="3"/>
        <v>0</v>
      </c>
      <c r="Q41" s="5">
        <f t="shared" si="4"/>
        <v>80000</v>
      </c>
    </row>
    <row r="42" spans="1:17">
      <c r="A42" s="3">
        <v>39</v>
      </c>
      <c r="B42" s="3" t="s">
        <v>56</v>
      </c>
      <c r="C42" s="4">
        <v>40</v>
      </c>
      <c r="D42" s="5">
        <f t="shared" si="36"/>
        <v>40000</v>
      </c>
      <c r="E42" s="5">
        <f t="shared" si="44"/>
        <v>40000</v>
      </c>
      <c r="F42" s="5">
        <f t="shared" ref="F42:M42" si="46">0</f>
        <v>0</v>
      </c>
      <c r="G42" s="5">
        <f t="shared" si="46"/>
        <v>0</v>
      </c>
      <c r="H42" s="5">
        <f t="shared" si="46"/>
        <v>0</v>
      </c>
      <c r="I42" s="5">
        <f t="shared" si="46"/>
        <v>0</v>
      </c>
      <c r="J42" s="5">
        <f t="shared" si="46"/>
        <v>0</v>
      </c>
      <c r="K42" s="5">
        <f t="shared" si="46"/>
        <v>0</v>
      </c>
      <c r="L42" s="5">
        <f t="shared" si="46"/>
        <v>0</v>
      </c>
      <c r="M42" s="5">
        <f t="shared" si="46"/>
        <v>0</v>
      </c>
      <c r="N42" s="5">
        <f t="shared" si="1"/>
        <v>80000</v>
      </c>
      <c r="O42" s="5">
        <f t="shared" si="2"/>
        <v>0</v>
      </c>
      <c r="P42" s="5">
        <f t="shared" si="3"/>
        <v>0</v>
      </c>
      <c r="Q42" s="5">
        <f t="shared" si="4"/>
        <v>80000</v>
      </c>
    </row>
    <row r="43" spans="1:17">
      <c r="A43" s="3">
        <v>40</v>
      </c>
      <c r="B43" s="3" t="s">
        <v>57</v>
      </c>
      <c r="C43" s="4">
        <v>45</v>
      </c>
      <c r="D43" s="5">
        <f t="shared" si="36"/>
        <v>45000</v>
      </c>
      <c r="E43" s="5">
        <f t="shared" si="44"/>
        <v>45000</v>
      </c>
      <c r="F43" s="5">
        <f t="shared" ref="F43:M43" si="47">0</f>
        <v>0</v>
      </c>
      <c r="G43" s="5">
        <f t="shared" si="47"/>
        <v>0</v>
      </c>
      <c r="H43" s="5">
        <f t="shared" si="47"/>
        <v>0</v>
      </c>
      <c r="I43" s="5">
        <f t="shared" si="47"/>
        <v>0</v>
      </c>
      <c r="J43" s="5">
        <f t="shared" si="47"/>
        <v>0</v>
      </c>
      <c r="K43" s="5">
        <f t="shared" si="47"/>
        <v>0</v>
      </c>
      <c r="L43" s="5">
        <f t="shared" si="47"/>
        <v>0</v>
      </c>
      <c r="M43" s="5">
        <f t="shared" si="47"/>
        <v>0</v>
      </c>
      <c r="N43" s="5">
        <f t="shared" si="1"/>
        <v>90000</v>
      </c>
      <c r="O43" s="5">
        <f t="shared" si="2"/>
        <v>0</v>
      </c>
      <c r="P43" s="5">
        <f t="shared" si="3"/>
        <v>0</v>
      </c>
      <c r="Q43" s="5">
        <f t="shared" si="4"/>
        <v>90000</v>
      </c>
    </row>
    <row r="44" spans="1:17">
      <c r="A44" s="3">
        <v>41</v>
      </c>
      <c r="B44" s="3" t="s">
        <v>58</v>
      </c>
      <c r="C44" s="4">
        <v>50</v>
      </c>
      <c r="D44" s="5">
        <f t="shared" si="36"/>
        <v>50000</v>
      </c>
      <c r="E44" s="5">
        <f t="shared" si="44"/>
        <v>50000</v>
      </c>
      <c r="F44" s="5">
        <f t="shared" ref="F44:M44" si="48">0</f>
        <v>0</v>
      </c>
      <c r="G44" s="5">
        <f t="shared" si="48"/>
        <v>0</v>
      </c>
      <c r="H44" s="5">
        <f t="shared" si="48"/>
        <v>0</v>
      </c>
      <c r="I44" s="5">
        <f t="shared" si="48"/>
        <v>0</v>
      </c>
      <c r="J44" s="5">
        <f t="shared" si="48"/>
        <v>0</v>
      </c>
      <c r="K44" s="5">
        <f t="shared" si="48"/>
        <v>0</v>
      </c>
      <c r="L44" s="5">
        <f t="shared" si="48"/>
        <v>0</v>
      </c>
      <c r="M44" s="5">
        <f t="shared" si="48"/>
        <v>0</v>
      </c>
      <c r="N44" s="5">
        <f t="shared" si="1"/>
        <v>100000</v>
      </c>
      <c r="O44" s="5">
        <f t="shared" si="2"/>
        <v>0</v>
      </c>
      <c r="P44" s="5">
        <f t="shared" si="3"/>
        <v>0</v>
      </c>
      <c r="Q44" s="5">
        <f t="shared" si="4"/>
        <v>100000</v>
      </c>
    </row>
    <row r="45" spans="1:17">
      <c r="A45" s="3">
        <v>42</v>
      </c>
      <c r="B45" s="3" t="s">
        <v>59</v>
      </c>
      <c r="C45" s="4">
        <v>50</v>
      </c>
      <c r="D45" s="5">
        <f t="shared" si="36"/>
        <v>50000</v>
      </c>
      <c r="E45" s="5">
        <f t="shared" si="44"/>
        <v>50000</v>
      </c>
      <c r="F45" s="5">
        <f t="shared" ref="F45:M45" si="49">0</f>
        <v>0</v>
      </c>
      <c r="G45" s="5">
        <f t="shared" si="49"/>
        <v>0</v>
      </c>
      <c r="H45" s="5">
        <f t="shared" si="49"/>
        <v>0</v>
      </c>
      <c r="I45" s="5">
        <f t="shared" si="49"/>
        <v>0</v>
      </c>
      <c r="J45" s="5">
        <f t="shared" si="49"/>
        <v>0</v>
      </c>
      <c r="K45" s="5">
        <f t="shared" si="49"/>
        <v>0</v>
      </c>
      <c r="L45" s="5">
        <f t="shared" si="49"/>
        <v>0</v>
      </c>
      <c r="M45" s="5">
        <f t="shared" si="49"/>
        <v>0</v>
      </c>
      <c r="N45" s="5">
        <f t="shared" si="1"/>
        <v>100000</v>
      </c>
      <c r="O45" s="5">
        <f t="shared" si="2"/>
        <v>0</v>
      </c>
      <c r="P45" s="5">
        <f t="shared" si="3"/>
        <v>0</v>
      </c>
      <c r="Q45" s="5">
        <f t="shared" si="4"/>
        <v>100000</v>
      </c>
    </row>
    <row r="46" spans="1:17">
      <c r="A46" s="3">
        <v>43</v>
      </c>
      <c r="B46" s="3" t="s">
        <v>60</v>
      </c>
      <c r="C46" s="4">
        <v>50</v>
      </c>
      <c r="D46" s="5">
        <f t="shared" si="36"/>
        <v>50000</v>
      </c>
      <c r="E46" s="5">
        <f t="shared" si="44"/>
        <v>50000</v>
      </c>
      <c r="F46" s="5">
        <f t="shared" ref="F46:M46" si="50">0</f>
        <v>0</v>
      </c>
      <c r="G46" s="5">
        <f t="shared" si="50"/>
        <v>0</v>
      </c>
      <c r="H46" s="5">
        <f t="shared" si="50"/>
        <v>0</v>
      </c>
      <c r="I46" s="5">
        <f t="shared" si="50"/>
        <v>0</v>
      </c>
      <c r="J46" s="5">
        <f t="shared" si="50"/>
        <v>0</v>
      </c>
      <c r="K46" s="5">
        <f t="shared" si="50"/>
        <v>0</v>
      </c>
      <c r="L46" s="5">
        <f t="shared" si="50"/>
        <v>0</v>
      </c>
      <c r="M46" s="5">
        <f t="shared" si="50"/>
        <v>0</v>
      </c>
      <c r="N46" s="5">
        <f t="shared" si="1"/>
        <v>100000</v>
      </c>
      <c r="O46" s="5">
        <f t="shared" si="2"/>
        <v>0</v>
      </c>
      <c r="P46" s="5">
        <f t="shared" si="3"/>
        <v>0</v>
      </c>
      <c r="Q46" s="5">
        <f t="shared" si="4"/>
        <v>100000</v>
      </c>
    </row>
    <row r="47" spans="1:17">
      <c r="A47" s="3">
        <v>44</v>
      </c>
      <c r="B47" s="3" t="s">
        <v>61</v>
      </c>
      <c r="C47" s="4">
        <v>50</v>
      </c>
      <c r="D47" s="5">
        <f t="shared" si="36"/>
        <v>50000</v>
      </c>
      <c r="E47" s="5">
        <f t="shared" si="44"/>
        <v>50000</v>
      </c>
      <c r="F47" s="5">
        <f t="shared" ref="F47:M47" si="51">0</f>
        <v>0</v>
      </c>
      <c r="G47" s="5">
        <f t="shared" si="51"/>
        <v>0</v>
      </c>
      <c r="H47" s="5">
        <f t="shared" si="51"/>
        <v>0</v>
      </c>
      <c r="I47" s="5">
        <f t="shared" si="51"/>
        <v>0</v>
      </c>
      <c r="J47" s="5">
        <f t="shared" si="51"/>
        <v>0</v>
      </c>
      <c r="K47" s="5">
        <f t="shared" si="51"/>
        <v>0</v>
      </c>
      <c r="L47" s="5">
        <f t="shared" si="51"/>
        <v>0</v>
      </c>
      <c r="M47" s="5">
        <f t="shared" si="51"/>
        <v>0</v>
      </c>
      <c r="N47" s="5">
        <f t="shared" si="1"/>
        <v>100000</v>
      </c>
      <c r="O47" s="5">
        <f t="shared" si="2"/>
        <v>0</v>
      </c>
      <c r="P47" s="5">
        <f t="shared" si="3"/>
        <v>0</v>
      </c>
      <c r="Q47" s="5">
        <f t="shared" si="4"/>
        <v>100000</v>
      </c>
    </row>
    <row r="48" spans="1:17">
      <c r="A48" s="3">
        <v>45</v>
      </c>
      <c r="B48" s="3" t="s">
        <v>62</v>
      </c>
      <c r="C48" s="4">
        <v>50</v>
      </c>
      <c r="D48" s="5">
        <f t="shared" si="36"/>
        <v>50000</v>
      </c>
      <c r="E48" s="5">
        <f t="shared" si="44"/>
        <v>50000</v>
      </c>
      <c r="F48" s="5">
        <f t="shared" ref="F48:M48" si="52">0</f>
        <v>0</v>
      </c>
      <c r="G48" s="5">
        <f t="shared" si="52"/>
        <v>0</v>
      </c>
      <c r="H48" s="5">
        <f t="shared" si="52"/>
        <v>0</v>
      </c>
      <c r="I48" s="5">
        <f t="shared" si="52"/>
        <v>0</v>
      </c>
      <c r="J48" s="5">
        <f t="shared" si="52"/>
        <v>0</v>
      </c>
      <c r="K48" s="5">
        <f t="shared" si="52"/>
        <v>0</v>
      </c>
      <c r="L48" s="5">
        <f t="shared" si="52"/>
        <v>0</v>
      </c>
      <c r="M48" s="5">
        <f t="shared" si="52"/>
        <v>0</v>
      </c>
      <c r="N48" s="5">
        <f t="shared" si="1"/>
        <v>100000</v>
      </c>
      <c r="O48" s="5">
        <f t="shared" si="2"/>
        <v>0</v>
      </c>
      <c r="P48" s="5">
        <f t="shared" si="3"/>
        <v>0</v>
      </c>
      <c r="Q48" s="5">
        <f t="shared" si="4"/>
        <v>100000</v>
      </c>
    </row>
    <row r="49" spans="1:17">
      <c r="A49" s="3">
        <v>46</v>
      </c>
      <c r="B49" s="3" t="s">
        <v>63</v>
      </c>
      <c r="C49" s="4">
        <v>50</v>
      </c>
      <c r="D49" s="5">
        <f t="shared" si="36"/>
        <v>50000</v>
      </c>
      <c r="E49" s="5">
        <f t="shared" si="44"/>
        <v>50000</v>
      </c>
      <c r="F49" s="5">
        <f t="shared" ref="F49:M49" si="53">0</f>
        <v>0</v>
      </c>
      <c r="G49" s="5">
        <f t="shared" si="53"/>
        <v>0</v>
      </c>
      <c r="H49" s="5">
        <f t="shared" si="53"/>
        <v>0</v>
      </c>
      <c r="I49" s="5">
        <f t="shared" si="53"/>
        <v>0</v>
      </c>
      <c r="J49" s="5">
        <f t="shared" si="53"/>
        <v>0</v>
      </c>
      <c r="K49" s="5">
        <f t="shared" si="53"/>
        <v>0</v>
      </c>
      <c r="L49" s="5">
        <f t="shared" si="53"/>
        <v>0</v>
      </c>
      <c r="M49" s="5">
        <f t="shared" si="53"/>
        <v>0</v>
      </c>
      <c r="N49" s="5">
        <f t="shared" si="1"/>
        <v>100000</v>
      </c>
      <c r="O49" s="5">
        <f t="shared" si="2"/>
        <v>0</v>
      </c>
      <c r="P49" s="5">
        <f t="shared" si="3"/>
        <v>0</v>
      </c>
      <c r="Q49" s="5">
        <f t="shared" si="4"/>
        <v>100000</v>
      </c>
    </row>
    <row r="50" spans="1:17">
      <c r="A50" s="3">
        <v>47</v>
      </c>
      <c r="B50" s="3" t="s">
        <v>64</v>
      </c>
      <c r="C50" s="4">
        <v>60</v>
      </c>
      <c r="D50" s="5">
        <f t="shared" si="36"/>
        <v>60000</v>
      </c>
      <c r="E50" s="5">
        <f t="shared" si="44"/>
        <v>60000</v>
      </c>
      <c r="F50" s="5">
        <f t="shared" ref="F50:M50" si="54">0</f>
        <v>0</v>
      </c>
      <c r="G50" s="5">
        <f t="shared" si="54"/>
        <v>0</v>
      </c>
      <c r="H50" s="5">
        <f t="shared" si="54"/>
        <v>0</v>
      </c>
      <c r="I50" s="5">
        <f t="shared" si="54"/>
        <v>0</v>
      </c>
      <c r="J50" s="5">
        <f t="shared" si="54"/>
        <v>0</v>
      </c>
      <c r="K50" s="5">
        <f t="shared" si="54"/>
        <v>0</v>
      </c>
      <c r="L50" s="5">
        <f t="shared" si="54"/>
        <v>0</v>
      </c>
      <c r="M50" s="5">
        <f t="shared" si="54"/>
        <v>0</v>
      </c>
      <c r="N50" s="5">
        <f t="shared" si="1"/>
        <v>120000</v>
      </c>
      <c r="O50" s="5">
        <f t="shared" si="2"/>
        <v>0</v>
      </c>
      <c r="P50" s="5">
        <f t="shared" si="3"/>
        <v>0</v>
      </c>
      <c r="Q50" s="5">
        <f t="shared" si="4"/>
        <v>120000</v>
      </c>
    </row>
    <row r="51" spans="1:17">
      <c r="A51" s="3">
        <v>48</v>
      </c>
      <c r="B51" s="3" t="s">
        <v>65</v>
      </c>
      <c r="C51" s="4">
        <v>60</v>
      </c>
      <c r="D51" s="5">
        <f t="shared" si="36"/>
        <v>60000</v>
      </c>
      <c r="E51" s="5">
        <f t="shared" si="44"/>
        <v>60000</v>
      </c>
      <c r="F51" s="5">
        <f t="shared" ref="F51:M51" si="55">0</f>
        <v>0</v>
      </c>
      <c r="G51" s="5">
        <f t="shared" si="55"/>
        <v>0</v>
      </c>
      <c r="H51" s="5">
        <f t="shared" si="55"/>
        <v>0</v>
      </c>
      <c r="I51" s="5">
        <f t="shared" si="55"/>
        <v>0</v>
      </c>
      <c r="J51" s="5">
        <f t="shared" si="55"/>
        <v>0</v>
      </c>
      <c r="K51" s="5">
        <f t="shared" si="55"/>
        <v>0</v>
      </c>
      <c r="L51" s="5">
        <f t="shared" si="55"/>
        <v>0</v>
      </c>
      <c r="M51" s="5">
        <f t="shared" si="55"/>
        <v>0</v>
      </c>
      <c r="N51" s="5">
        <f t="shared" si="1"/>
        <v>120000</v>
      </c>
      <c r="O51" s="5">
        <f t="shared" si="2"/>
        <v>0</v>
      </c>
      <c r="P51" s="5">
        <f t="shared" si="3"/>
        <v>0</v>
      </c>
      <c r="Q51" s="5">
        <f t="shared" si="4"/>
        <v>120000</v>
      </c>
    </row>
    <row r="52" spans="1:17">
      <c r="A52" s="3">
        <v>49</v>
      </c>
      <c r="B52" s="3" t="s">
        <v>66</v>
      </c>
      <c r="C52" s="4">
        <v>70</v>
      </c>
      <c r="D52" s="5">
        <f t="shared" si="36"/>
        <v>70000</v>
      </c>
      <c r="E52" s="5">
        <f t="shared" si="44"/>
        <v>70000</v>
      </c>
      <c r="F52" s="5">
        <f t="shared" ref="F52:M52" si="56">0</f>
        <v>0</v>
      </c>
      <c r="G52" s="5">
        <f t="shared" si="56"/>
        <v>0</v>
      </c>
      <c r="H52" s="5">
        <f t="shared" si="56"/>
        <v>0</v>
      </c>
      <c r="I52" s="5">
        <f t="shared" si="56"/>
        <v>0</v>
      </c>
      <c r="J52" s="5">
        <f t="shared" si="56"/>
        <v>0</v>
      </c>
      <c r="K52" s="5">
        <f t="shared" si="56"/>
        <v>0</v>
      </c>
      <c r="L52" s="5">
        <f t="shared" si="56"/>
        <v>0</v>
      </c>
      <c r="M52" s="5">
        <f t="shared" si="56"/>
        <v>0</v>
      </c>
      <c r="N52" s="5">
        <f t="shared" si="1"/>
        <v>140000</v>
      </c>
      <c r="O52" s="5">
        <f t="shared" si="2"/>
        <v>0</v>
      </c>
      <c r="P52" s="5">
        <f t="shared" si="3"/>
        <v>0</v>
      </c>
      <c r="Q52" s="5">
        <f t="shared" si="4"/>
        <v>140000</v>
      </c>
    </row>
    <row r="53" spans="1:17">
      <c r="A53" s="3">
        <v>50</v>
      </c>
      <c r="B53" s="3" t="s">
        <v>67</v>
      </c>
      <c r="C53" s="4">
        <v>80</v>
      </c>
      <c r="D53" s="5">
        <f t="shared" si="36"/>
        <v>80000</v>
      </c>
      <c r="E53" s="5">
        <f t="shared" si="44"/>
        <v>80000</v>
      </c>
      <c r="F53" s="5">
        <f t="shared" ref="F53:M53" si="57">0</f>
        <v>0</v>
      </c>
      <c r="G53" s="5">
        <f t="shared" si="57"/>
        <v>0</v>
      </c>
      <c r="H53" s="5">
        <f t="shared" si="57"/>
        <v>0</v>
      </c>
      <c r="I53" s="5">
        <f t="shared" si="57"/>
        <v>0</v>
      </c>
      <c r="J53" s="5">
        <f t="shared" si="57"/>
        <v>0</v>
      </c>
      <c r="K53" s="5">
        <f t="shared" si="57"/>
        <v>0</v>
      </c>
      <c r="L53" s="5">
        <f t="shared" si="57"/>
        <v>0</v>
      </c>
      <c r="M53" s="5">
        <f t="shared" si="57"/>
        <v>0</v>
      </c>
      <c r="N53" s="5">
        <f t="shared" si="1"/>
        <v>160000</v>
      </c>
      <c r="O53" s="5">
        <f t="shared" si="2"/>
        <v>0</v>
      </c>
      <c r="P53" s="5">
        <f t="shared" si="3"/>
        <v>0</v>
      </c>
      <c r="Q53" s="5">
        <f t="shared" si="4"/>
        <v>160000</v>
      </c>
    </row>
    <row r="54" spans="1:17">
      <c r="A54" s="3">
        <v>51</v>
      </c>
      <c r="B54" s="3" t="s">
        <v>68</v>
      </c>
      <c r="C54" s="4">
        <v>100</v>
      </c>
      <c r="D54" s="5">
        <f t="shared" si="36"/>
        <v>100000</v>
      </c>
      <c r="E54" s="5">
        <f t="shared" si="44"/>
        <v>100000</v>
      </c>
      <c r="F54" s="5">
        <f t="shared" ref="F54:M54" si="58">0</f>
        <v>0</v>
      </c>
      <c r="G54" s="5">
        <f t="shared" si="58"/>
        <v>0</v>
      </c>
      <c r="H54" s="5">
        <f t="shared" si="58"/>
        <v>0</v>
      </c>
      <c r="I54" s="5">
        <f t="shared" si="58"/>
        <v>0</v>
      </c>
      <c r="J54" s="5">
        <f t="shared" si="58"/>
        <v>0</v>
      </c>
      <c r="K54" s="5">
        <f t="shared" si="58"/>
        <v>0</v>
      </c>
      <c r="L54" s="5">
        <f t="shared" si="58"/>
        <v>0</v>
      </c>
      <c r="M54" s="5">
        <f t="shared" si="58"/>
        <v>0</v>
      </c>
      <c r="N54" s="5">
        <f t="shared" si="1"/>
        <v>200000</v>
      </c>
      <c r="O54" s="5">
        <f t="shared" si="2"/>
        <v>0</v>
      </c>
      <c r="P54" s="5">
        <f t="shared" si="3"/>
        <v>0</v>
      </c>
      <c r="Q54" s="5">
        <f t="shared" si="4"/>
        <v>200000</v>
      </c>
    </row>
    <row r="55" spans="1:17">
      <c r="A55" s="3">
        <v>52</v>
      </c>
      <c r="B55" s="3" t="s">
        <v>69</v>
      </c>
      <c r="C55" s="4">
        <v>105</v>
      </c>
      <c r="D55" s="5">
        <f t="shared" si="36"/>
        <v>105000</v>
      </c>
      <c r="E55" s="5">
        <f t="shared" si="44"/>
        <v>105000</v>
      </c>
      <c r="F55" s="5">
        <f t="shared" ref="F55:M55" si="59">0</f>
        <v>0</v>
      </c>
      <c r="G55" s="5">
        <f t="shared" si="59"/>
        <v>0</v>
      </c>
      <c r="H55" s="5">
        <f t="shared" si="59"/>
        <v>0</v>
      </c>
      <c r="I55" s="5">
        <f t="shared" si="59"/>
        <v>0</v>
      </c>
      <c r="J55" s="5">
        <f t="shared" si="59"/>
        <v>0</v>
      </c>
      <c r="K55" s="5">
        <f t="shared" si="59"/>
        <v>0</v>
      </c>
      <c r="L55" s="5">
        <f t="shared" si="59"/>
        <v>0</v>
      </c>
      <c r="M55" s="5">
        <f t="shared" si="59"/>
        <v>0</v>
      </c>
      <c r="N55" s="5">
        <f t="shared" si="1"/>
        <v>210000</v>
      </c>
      <c r="O55" s="5">
        <f t="shared" si="2"/>
        <v>0</v>
      </c>
      <c r="P55" s="5">
        <f t="shared" si="3"/>
        <v>0</v>
      </c>
      <c r="Q55" s="5">
        <f t="shared" si="4"/>
        <v>210000</v>
      </c>
    </row>
    <row r="56" spans="1:17">
      <c r="A56" s="3">
        <v>53</v>
      </c>
      <c r="B56" s="3" t="s">
        <v>70</v>
      </c>
      <c r="C56" s="4">
        <v>110</v>
      </c>
      <c r="D56" s="5">
        <f t="shared" si="36"/>
        <v>110000</v>
      </c>
      <c r="E56" s="5">
        <f t="shared" si="44"/>
        <v>110000</v>
      </c>
      <c r="F56" s="5">
        <f t="shared" ref="F56:M56" si="60">0</f>
        <v>0</v>
      </c>
      <c r="G56" s="5">
        <f t="shared" si="60"/>
        <v>0</v>
      </c>
      <c r="H56" s="5">
        <f t="shared" si="60"/>
        <v>0</v>
      </c>
      <c r="I56" s="5">
        <f t="shared" si="60"/>
        <v>0</v>
      </c>
      <c r="J56" s="5">
        <f t="shared" si="60"/>
        <v>0</v>
      </c>
      <c r="K56" s="5">
        <f t="shared" si="60"/>
        <v>0</v>
      </c>
      <c r="L56" s="5">
        <f t="shared" si="60"/>
        <v>0</v>
      </c>
      <c r="M56" s="5">
        <f t="shared" si="60"/>
        <v>0</v>
      </c>
      <c r="N56" s="5">
        <f t="shared" si="1"/>
        <v>220000</v>
      </c>
      <c r="O56" s="5">
        <f t="shared" si="2"/>
        <v>0</v>
      </c>
      <c r="P56" s="5">
        <f t="shared" si="3"/>
        <v>0</v>
      </c>
      <c r="Q56" s="5">
        <f t="shared" si="4"/>
        <v>220000</v>
      </c>
    </row>
    <row r="57" spans="1:17">
      <c r="A57" s="3">
        <v>54</v>
      </c>
      <c r="B57" s="3" t="s">
        <v>71</v>
      </c>
      <c r="C57" s="4">
        <v>150</v>
      </c>
      <c r="D57" s="5">
        <f>200000</f>
        <v>200000</v>
      </c>
      <c r="E57" s="5">
        <f>150000</f>
        <v>150000</v>
      </c>
      <c r="F57" s="5">
        <f t="shared" ref="F57:M57" si="61">0</f>
        <v>0</v>
      </c>
      <c r="G57" s="5">
        <f t="shared" si="61"/>
        <v>0</v>
      </c>
      <c r="H57" s="5">
        <f t="shared" si="61"/>
        <v>0</v>
      </c>
      <c r="I57" s="5">
        <f t="shared" si="61"/>
        <v>0</v>
      </c>
      <c r="J57" s="5">
        <f t="shared" si="61"/>
        <v>0</v>
      </c>
      <c r="K57" s="5">
        <f t="shared" si="61"/>
        <v>0</v>
      </c>
      <c r="L57" s="5">
        <f t="shared" si="61"/>
        <v>0</v>
      </c>
      <c r="M57" s="5">
        <f t="shared" si="61"/>
        <v>0</v>
      </c>
      <c r="N57" s="5">
        <f t="shared" si="1"/>
        <v>350000</v>
      </c>
      <c r="O57" s="5">
        <f t="shared" si="2"/>
        <v>0</v>
      </c>
      <c r="P57" s="5">
        <f t="shared" si="3"/>
        <v>0</v>
      </c>
      <c r="Q57" s="5">
        <f t="shared" si="4"/>
        <v>350000</v>
      </c>
    </row>
    <row r="58" spans="1:17">
      <c r="A58" s="3">
        <v>55</v>
      </c>
      <c r="B58" s="3" t="s">
        <v>72</v>
      </c>
      <c r="C58" s="4">
        <v>200</v>
      </c>
      <c r="D58" s="5">
        <f>C58*1000</f>
        <v>200000</v>
      </c>
      <c r="E58" s="5">
        <f>C58*1000</f>
        <v>200000</v>
      </c>
      <c r="F58" s="5">
        <f t="shared" ref="F58:M58" si="62">0</f>
        <v>0</v>
      </c>
      <c r="G58" s="5">
        <f t="shared" si="62"/>
        <v>0</v>
      </c>
      <c r="H58" s="5">
        <f t="shared" si="62"/>
        <v>0</v>
      </c>
      <c r="I58" s="5">
        <f t="shared" si="62"/>
        <v>0</v>
      </c>
      <c r="J58" s="5">
        <f t="shared" si="62"/>
        <v>0</v>
      </c>
      <c r="K58" s="5">
        <f t="shared" si="62"/>
        <v>0</v>
      </c>
      <c r="L58" s="5">
        <f t="shared" si="62"/>
        <v>0</v>
      </c>
      <c r="M58" s="5">
        <f t="shared" si="62"/>
        <v>0</v>
      </c>
      <c r="N58" s="5">
        <f t="shared" si="1"/>
        <v>400000</v>
      </c>
      <c r="O58" s="5">
        <f t="shared" si="2"/>
        <v>0</v>
      </c>
      <c r="P58" s="5">
        <f t="shared" si="3"/>
        <v>0</v>
      </c>
      <c r="Q58" s="5">
        <f t="shared" si="4"/>
        <v>400000</v>
      </c>
    </row>
    <row r="59" spans="1:17">
      <c r="A59" s="3">
        <v>56</v>
      </c>
      <c r="B59" s="3" t="s">
        <v>73</v>
      </c>
      <c r="C59" s="4">
        <v>250</v>
      </c>
      <c r="D59" s="5">
        <f>C59*1000</f>
        <v>250000</v>
      </c>
      <c r="E59" s="5">
        <f>C59*1000</f>
        <v>250000</v>
      </c>
      <c r="F59" s="5">
        <f t="shared" ref="F59:M59" si="63">0</f>
        <v>0</v>
      </c>
      <c r="G59" s="5">
        <f t="shared" si="63"/>
        <v>0</v>
      </c>
      <c r="H59" s="5">
        <f t="shared" si="63"/>
        <v>0</v>
      </c>
      <c r="I59" s="5">
        <f t="shared" si="63"/>
        <v>0</v>
      </c>
      <c r="J59" s="5">
        <f t="shared" si="63"/>
        <v>0</v>
      </c>
      <c r="K59" s="5">
        <f t="shared" si="63"/>
        <v>0</v>
      </c>
      <c r="L59" s="5">
        <f t="shared" si="63"/>
        <v>0</v>
      </c>
      <c r="M59" s="5">
        <f t="shared" si="63"/>
        <v>0</v>
      </c>
      <c r="N59" s="5">
        <f t="shared" si="1"/>
        <v>500000</v>
      </c>
      <c r="O59" s="5">
        <f t="shared" si="2"/>
        <v>0</v>
      </c>
      <c r="P59" s="5">
        <f t="shared" si="3"/>
        <v>0</v>
      </c>
      <c r="Q59" s="5">
        <f t="shared" si="4"/>
        <v>500000</v>
      </c>
    </row>
    <row r="60" spans="1:17">
      <c r="A60" s="3">
        <v>57</v>
      </c>
      <c r="B60" s="3" t="s">
        <v>74</v>
      </c>
      <c r="C60" s="4">
        <v>300</v>
      </c>
      <c r="D60" s="5">
        <f>C60*1000</f>
        <v>300000</v>
      </c>
      <c r="E60" s="5">
        <f>C60*1000</f>
        <v>300000</v>
      </c>
      <c r="F60" s="5">
        <f t="shared" ref="F60:M60" si="64">0</f>
        <v>0</v>
      </c>
      <c r="G60" s="5">
        <f t="shared" si="64"/>
        <v>0</v>
      </c>
      <c r="H60" s="5">
        <f t="shared" si="64"/>
        <v>0</v>
      </c>
      <c r="I60" s="5">
        <f t="shared" si="64"/>
        <v>0</v>
      </c>
      <c r="J60" s="5">
        <f t="shared" si="64"/>
        <v>0</v>
      </c>
      <c r="K60" s="5">
        <f t="shared" si="64"/>
        <v>0</v>
      </c>
      <c r="L60" s="5">
        <f t="shared" si="64"/>
        <v>0</v>
      </c>
      <c r="M60" s="5">
        <f t="shared" si="64"/>
        <v>0</v>
      </c>
      <c r="N60" s="5">
        <f t="shared" si="1"/>
        <v>600000</v>
      </c>
      <c r="O60" s="5">
        <f t="shared" si="2"/>
        <v>0</v>
      </c>
      <c r="P60" s="5">
        <f t="shared" si="3"/>
        <v>0</v>
      </c>
      <c r="Q60" s="5">
        <f t="shared" si="4"/>
        <v>600000</v>
      </c>
    </row>
    <row r="61" spans="1:17">
      <c r="A61" s="3">
        <v>58</v>
      </c>
      <c r="B61" s="3" t="s">
        <v>75</v>
      </c>
      <c r="C61" s="4">
        <v>400</v>
      </c>
      <c r="D61" s="5">
        <f>C61*1000</f>
        <v>400000</v>
      </c>
      <c r="E61" s="5">
        <f>C61*1000</f>
        <v>400000</v>
      </c>
      <c r="F61" s="5">
        <f t="shared" ref="F61:M61" si="65">0</f>
        <v>0</v>
      </c>
      <c r="G61" s="5">
        <f t="shared" si="65"/>
        <v>0</v>
      </c>
      <c r="H61" s="5">
        <f t="shared" si="65"/>
        <v>0</v>
      </c>
      <c r="I61" s="5">
        <f t="shared" si="65"/>
        <v>0</v>
      </c>
      <c r="J61" s="5">
        <f t="shared" si="65"/>
        <v>0</v>
      </c>
      <c r="K61" s="5">
        <f t="shared" si="65"/>
        <v>0</v>
      </c>
      <c r="L61" s="5">
        <f t="shared" si="65"/>
        <v>0</v>
      </c>
      <c r="M61" s="5">
        <f t="shared" si="65"/>
        <v>0</v>
      </c>
      <c r="N61" s="5">
        <f t="shared" si="1"/>
        <v>800000</v>
      </c>
      <c r="O61" s="5">
        <f t="shared" si="2"/>
        <v>0</v>
      </c>
      <c r="P61" s="5">
        <f t="shared" si="3"/>
        <v>0</v>
      </c>
      <c r="Q61" s="5">
        <f t="shared" si="4"/>
        <v>800000</v>
      </c>
    </row>
    <row r="62" ht="15" spans="1:17">
      <c r="A62" s="6" t="s">
        <v>76</v>
      </c>
      <c r="B62" s="6" t="s">
        <v>77</v>
      </c>
      <c r="C62" s="7" t="s">
        <v>76</v>
      </c>
      <c r="D62" s="7">
        <f t="shared" ref="D62:Q62" si="66">SUM(D4:D61)</f>
        <v>3005000</v>
      </c>
      <c r="E62" s="7">
        <f t="shared" si="66"/>
        <v>2915000</v>
      </c>
      <c r="F62" s="7">
        <f t="shared" si="66"/>
        <v>0</v>
      </c>
      <c r="G62" s="7">
        <f t="shared" si="66"/>
        <v>0</v>
      </c>
      <c r="H62" s="7">
        <f t="shared" si="66"/>
        <v>0</v>
      </c>
      <c r="I62" s="7">
        <f t="shared" si="66"/>
        <v>0</v>
      </c>
      <c r="J62" s="7">
        <f t="shared" si="66"/>
        <v>0</v>
      </c>
      <c r="K62" s="7">
        <f t="shared" si="66"/>
        <v>0</v>
      </c>
      <c r="L62" s="7">
        <f t="shared" si="66"/>
        <v>0</v>
      </c>
      <c r="M62" s="7">
        <f t="shared" si="66"/>
        <v>0</v>
      </c>
      <c r="N62" s="7">
        <f t="shared" si="66"/>
        <v>5920000</v>
      </c>
      <c r="O62" s="7">
        <f t="shared" si="66"/>
        <v>0</v>
      </c>
      <c r="P62" s="7">
        <f t="shared" si="66"/>
        <v>0</v>
      </c>
      <c r="Q62" s="7">
        <f t="shared" si="66"/>
        <v>5920000</v>
      </c>
    </row>
  </sheetData>
  <mergeCells count="1">
    <mergeCell ref="A1:Q1"/>
  </mergeCells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Contributions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2026-04-11T15:08:13Z</dcterms:created>
  <dcterms:modified xsi:type="dcterms:W3CDTF">2026-04-11T15:08:39Z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9DBEC980B0FD429ABFF18AA7CE27CD55_12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